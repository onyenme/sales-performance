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A14DEAC1-9DC6-4522-8611-18620F5F664C}" xr6:coauthVersionLast="47" xr6:coauthVersionMax="47" xr10:uidLastSave="{00000000-0000-0000-0000-000000000000}"/>
  <bookViews>
    <workbookView xWindow="-110" yWindow="-110" windowWidth="19420" windowHeight="10300" firstSheet="4" activeTab="5" xr2:uid="{D788399C-66F4-4F21-95B2-FFBBB72E4800}"/>
  </bookViews>
  <sheets>
    <sheet name="DATA" sheetId="1" r:id="rId1"/>
    <sheet name="PIVOT TABLE" sheetId="3" r:id="rId2"/>
    <sheet name="DashBoard" sheetId="5" r:id="rId3"/>
    <sheet name="WORKING DATA" sheetId="2" r:id="rId4"/>
    <sheet name="Pivottable2" sheetId="15" r:id="rId5"/>
    <sheet name="DATA (2)" sheetId="6" r:id="rId6"/>
    <sheet name="Dashboard Report" sheetId="16" r:id="rId7"/>
  </sheets>
  <externalReferences>
    <externalReference r:id="rId8"/>
  </externalReferences>
  <definedNames>
    <definedName name="cost">'PIVOT TABLE'!$D$5</definedName>
    <definedName name="dateee">[1]CALCULATIONS!$C$2</definedName>
    <definedName name="profit">'PIVOT TABLE'!$E$5</definedName>
    <definedName name="QTYY">[1]CALCULATIONS!$C$11</definedName>
    <definedName name="Quantity">'PIVOT TABLE'!$C$5</definedName>
    <definedName name="sales">'PIVOT TABLE'!$B$5</definedName>
    <definedName name="Slicer_Month">#N/A</definedName>
    <definedName name="Slicer_Region">#N/A</definedName>
    <definedName name="Slicer_Year">#N/A</definedName>
    <definedName name="totalcost">'PIVOT TABLE'!$D$6</definedName>
    <definedName name="totalprofit">'PIVOT TABLE'!$E$6</definedName>
    <definedName name="totalproit">'PIVOT TABLE'!$E$6</definedName>
    <definedName name="totalquantity">'PIVOT TABLE'!$C$6</definedName>
    <definedName name="totalsales">'PIVOT TABLE'!$B$6</definedName>
    <definedName name="yoycost">'PIVOT TABLE'!$E$13</definedName>
    <definedName name="yoyprofit">'PIVOT TABLE'!$E$14</definedName>
    <definedName name="YOYQTY">[1]CALCULATIONS!$F$11</definedName>
    <definedName name="yoyquantity">'PIVOT TABLE'!$E$12</definedName>
    <definedName name="yoysales">'PIVOT TABLE'!$E$11</definedName>
  </definedNames>
  <calcPr calcId="181029"/>
  <pivotCaches>
    <pivotCache cacheId="0" r:id="rId9"/>
    <pivotCache cacheId="1" r:id="rId10"/>
    <pivotCache cacheId="2" r:id="rId11"/>
    <pivotCache cacheId="3" r:id="rId1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1" i="15" l="1"/>
  <c r="F71" i="15" s="1"/>
  <c r="G71" i="15" s="1"/>
  <c r="D70" i="15"/>
  <c r="F70" i="15" s="1"/>
  <c r="G70" i="15" s="1"/>
  <c r="D69" i="15"/>
  <c r="F69" i="15" s="1"/>
  <c r="G69" i="15" s="1"/>
  <c r="D68" i="15"/>
  <c r="F68" i="15" s="1"/>
  <c r="G68" i="15" s="1"/>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2" i="6"/>
  <c r="K2" i="2"/>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J302" i="6"/>
  <c r="I1048576"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C14" i="3"/>
  <c r="E14" i="3" s="1"/>
  <c r="F14" i="3" s="1"/>
  <c r="C13" i="3"/>
  <c r="E13" i="3" s="1"/>
  <c r="F13" i="3" s="1"/>
  <c r="C12" i="3"/>
  <c r="E12" i="3" s="1"/>
  <c r="F12" i="3" s="1"/>
  <c r="C11" i="3"/>
  <c r="E11" i="3" s="1"/>
  <c r="F11" i="3" s="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alcChain>
</file>

<file path=xl/sharedStrings.xml><?xml version="1.0" encoding="utf-8"?>
<sst xmlns="http://schemas.openxmlformats.org/spreadsheetml/2006/main" count="3806" uniqueCount="356">
  <si>
    <t>OrderID</t>
  </si>
  <si>
    <t>Date</t>
  </si>
  <si>
    <t>Product</t>
  </si>
  <si>
    <t>Category</t>
  </si>
  <si>
    <t>Region</t>
  </si>
  <si>
    <t>Sales</t>
  </si>
  <si>
    <t>Quantity</t>
  </si>
  <si>
    <t>Cost</t>
  </si>
  <si>
    <t>ORD0001</t>
  </si>
  <si>
    <t>Printer</t>
  </si>
  <si>
    <t>Electronics</t>
  </si>
  <si>
    <t>East</t>
  </si>
  <si>
    <t>ORD0002</t>
  </si>
  <si>
    <t>Laptop</t>
  </si>
  <si>
    <t>ORD0003</t>
  </si>
  <si>
    <t>Mouse</t>
  </si>
  <si>
    <t>Accessories</t>
  </si>
  <si>
    <t>ORD0004</t>
  </si>
  <si>
    <t>Monitor</t>
  </si>
  <si>
    <t>West</t>
  </si>
  <si>
    <t>ORD0005</t>
  </si>
  <si>
    <t>South</t>
  </si>
  <si>
    <t>ORD0006</t>
  </si>
  <si>
    <t>Keyboard</t>
  </si>
  <si>
    <t>ORD0007</t>
  </si>
  <si>
    <t>Headphones</t>
  </si>
  <si>
    <t>North</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</si>
  <si>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</si>
  <si>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</si>
  <si>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</si>
  <si>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</si>
  <si>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</si>
  <si>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</si>
  <si>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</si>
  <si>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</si>
  <si>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</si>
  <si>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</si>
  <si>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</si>
  <si>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</si>
  <si>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</si>
  <si>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</si>
  <si>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</si>
  <si>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</si>
  <si>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</si>
  <si>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</si>
  <si>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</si>
  <si>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</si>
  <si>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</si>
  <si>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</si>
  <si>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</si>
  <si>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</si>
  <si>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</si>
  <si>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</si>
  <si>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</si>
  <si>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</si>
  <si>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</si>
  <si>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</si>
  <si>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</si>
  <si>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</si>
  <si>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</si>
  <si>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</si>
  <si>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</si>
  <si>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</si>
  <si>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</si>
  <si>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</si>
  <si>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</si>
  <si>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</si>
  <si>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</si>
  <si>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</si>
  <si>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</si>
  <si>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</si>
  <si>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</si>
  <si>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</si>
  <si>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</si>
  <si>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</si>
  <si>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</si>
  <si>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</si>
  <si>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</si>
  <si>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</si>
  <si>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</si>
  <si>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</si>
  <si>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</si>
  <si>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</si>
  <si>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</si>
  <si>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</si>
  <si>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</si>
  <si>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</si>
  <si>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</si>
  <si>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</si>
  <si>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</si>
  <si>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</si>
  <si>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</si>
  <si>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</si>
  <si>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</si>
  <si>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</si>
  <si>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</si>
  <si>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</si>
  <si>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</si>
  <si>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</si>
  <si>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</si>
  <si>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</si>
  <si>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</si>
  <si>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</si>
  <si>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</si>
  <si>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</si>
  <si>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</si>
  <si>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</si>
  <si>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</si>
  <si>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</si>
  <si>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</si>
  <si>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</si>
  <si>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</si>
  <si>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</si>
  <si>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</si>
  <si>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</si>
  <si>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</si>
  <si>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</si>
  <si>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</si>
  <si>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</si>
  <si>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</si>
  <si>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</si>
  <si>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</si>
  <si>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</si>
  <si>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</si>
  <si>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</si>
  <si>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</si>
  <si>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</si>
  <si>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</si>
  <si>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</si>
  <si>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</si>
  <si>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</si>
  <si>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</si>
  <si>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</si>
  <si>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</si>
  <si>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</si>
  <si>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</si>
  <si>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</si>
  <si>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</si>
  <si>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</si>
  <si>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</si>
  <si>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</si>
  <si>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</si>
  <si>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</si>
  <si>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</si>
  <si>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</si>
  <si>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</si>
  <si>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</si>
  <si>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</si>
  <si>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</si>
  <si>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</si>
  <si>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</si>
  <si>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</si>
  <si>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</si>
  <si>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</si>
  <si>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</si>
  <si>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</si>
  <si>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</si>
  <si>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</si>
  <si>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</si>
  <si>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</si>
  <si>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</si>
  <si>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</si>
  <si>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</si>
  <si>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</si>
  <si>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</si>
  <si>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</si>
  <si>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</si>
  <si>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</si>
  <si>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</si>
  <si>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</si>
  <si>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</si>
  <si>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</si>
  <si>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</si>
  <si>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</si>
  <si>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</si>
  <si>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</si>
  <si>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</si>
  <si>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</si>
  <si>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</si>
  <si>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</si>
  <si>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</si>
  <si>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</si>
  <si>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</si>
  <si>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</si>
  <si>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</si>
  <si>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</si>
  <si>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</si>
  <si>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</si>
  <si>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</si>
  <si>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</si>
  <si>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</si>
  <si>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</si>
  <si>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</si>
  <si>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</si>
  <si>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</si>
  <si>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</si>
  <si>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</si>
  <si>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</si>
  <si>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</si>
  <si>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</si>
  <si>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</si>
  <si>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</si>
  <si>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</si>
  <si>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</si>
  <si>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</si>
  <si>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</si>
  <si>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</si>
  <si>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</si>
  <si>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</si>
  <si>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</si>
  <si>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</si>
  <si>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</si>
  <si>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</si>
  <si>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</si>
  <si>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</si>
  <si>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</si>
  <si>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</si>
  <si>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</si>
  <si>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</si>
  <si>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</si>
  <si>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</si>
  <si>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</si>
  <si>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</si>
  <si>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</si>
  <si>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</si>
  <si>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</si>
  <si>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</si>
  <si>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</si>
  <si>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</si>
  <si>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</si>
  <si>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</si>
  <si>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</si>
  <si>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</si>
  <si>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</si>
  <si>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</si>
  <si>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</si>
  <si>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</si>
  <si>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</si>
  <si>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</si>
  <si>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</si>
  <si>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</si>
  <si>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</si>
  <si>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</si>
  <si>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</si>
  <si>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</si>
  <si>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</si>
  <si>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</si>
  <si>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</si>
  <si>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</si>
  <si>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</si>
  <si>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</si>
  <si>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</si>
  <si>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</si>
  <si>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</si>
  <si>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</si>
  <si>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</si>
  <si>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</si>
  <si>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</si>
  <si>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</si>
  <si>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</si>
  <si>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</si>
  <si>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</si>
  <si>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</si>
  <si>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</si>
  <si>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</si>
  <si>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</si>
  <si>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</si>
  <si>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</si>
  <si>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</si>
  <si>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</si>
  <si>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</si>
  <si>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</si>
  <si>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</si>
  <si>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</si>
  <si>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</si>
  <si>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</si>
  <si>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</si>
  <si>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</si>
  <si>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</si>
  <si>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</si>
  <si>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</si>
  <si>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</si>
  <si>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</si>
  <si>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</si>
  <si>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</si>
  <si>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</si>
  <si>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</si>
  <si>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</si>
  <si>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</si>
  <si>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</si>
  <si>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</si>
  <si>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</si>
  <si>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</si>
  <si>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</si>
  <si>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</si>
  <si>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</si>
  <si>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</si>
  <si>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</si>
  <si>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</si>
  <si>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</si>
  <si>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</si>
  <si>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</si>
  <si>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</si>
  <si>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</si>
  <si>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</si>
  <si>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</si>
  <si>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</si>
  <si>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</si>
  <si>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</si>
  <si>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</si>
  <si>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</si>
  <si>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</si>
  <si>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</si>
  <si>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</si>
  <si>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</si>
  <si>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</si>
  <si>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</si>
  <si>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</si>
  <si>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</si>
  <si>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</si>
  <si>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YEAR</t>
  </si>
  <si>
    <t>MONTH</t>
  </si>
  <si>
    <t>Row Labels</t>
  </si>
  <si>
    <t>2023</t>
  </si>
  <si>
    <t>2024</t>
  </si>
  <si>
    <t>Grand Total</t>
  </si>
  <si>
    <t>Sum of Sales</t>
  </si>
  <si>
    <t>Sum of Quantity</t>
  </si>
  <si>
    <t>Sum of Cost</t>
  </si>
  <si>
    <t>Sum of Profit</t>
  </si>
  <si>
    <t>Key Performance Indicators</t>
  </si>
  <si>
    <t>Profit</t>
  </si>
  <si>
    <t>CY</t>
  </si>
  <si>
    <t>PR</t>
  </si>
  <si>
    <t>Jan</t>
  </si>
  <si>
    <t>Nov</t>
  </si>
  <si>
    <t>Mar</t>
  </si>
  <si>
    <t>Jul</t>
  </si>
  <si>
    <t>Dec</t>
  </si>
  <si>
    <t>Apr</t>
  </si>
  <si>
    <t>Feb</t>
  </si>
  <si>
    <t>May</t>
  </si>
  <si>
    <t>Aug</t>
  </si>
  <si>
    <t>Oct</t>
  </si>
  <si>
    <t>Jun</t>
  </si>
  <si>
    <t>Sep</t>
  </si>
  <si>
    <t>YOY</t>
  </si>
  <si>
    <t>Sales Trend</t>
  </si>
  <si>
    <t>Column Labels</t>
  </si>
  <si>
    <t>Quarter</t>
  </si>
  <si>
    <t>Q1</t>
  </si>
  <si>
    <t>Q2</t>
  </si>
  <si>
    <t>Q3</t>
  </si>
  <si>
    <t>Q4</t>
  </si>
  <si>
    <t>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</si>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</sst>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0.00"/>
    <numFmt numFmtId="166" formatCode="&quot;£&quot;#,##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BAC8C9"/>
        <bgColor indexed="64"/>
      </patternFill>
    </fill>
  </fills>
  <borders count="11">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quotePrefix="1"/>
    <xf numFmtId="0" fontId="0" fillId="2" borderId="0" xfId="0" applyFill="1"/>
    <xf numFmtId="166" fontId="1" fillId="0" borderId="1" xfId="0" applyNumberFormat="1" applyFont="1" applyBorder="1" applyAlignment="1">
      <alignment horizontal="center" vertical="top"/>
    </xf>
    <xf numFmtId="166"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0" borderId="0" xfId="0" applyAlignment="1">
      <alignment horizontal="left" inden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2">
    <cellStyle name="Normal" xfId="0" builtinId="0"/>
    <cellStyle name="Percent" xfId="1" builtinId="5"/>
  </cellStyles>
  <dxfs count="53">
    <dxf>
      <numFmt numFmtId="166" formatCode="&quot;£&quot;#,##0"/>
    </dxf>
    <dxf>
      <numFmt numFmtId="166" formatCode="&quot;£&quot;#,##0"/>
    </dxf>
    <dxf>
      <numFmt numFmtId="166" formatCode="&quot;£&quot;#,##0"/>
    </dxf>
    <dxf>
      <numFmt numFmtId="1" formatCode="0"/>
    </dxf>
    <dxf>
      <numFmt numFmtId="1" formatCode="0"/>
    </dxf>
    <dxf>
      <numFmt numFmtId="166" formatCode="&quot;£&quot;#,##0"/>
    </dxf>
    <dxf>
      <numFmt numFmtId="166" formatCode="&quot;£&quot;#,##0"/>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5" formatCode="&quot;£&quot;#,##0.00"/>
    </dxf>
    <dxf>
      <numFmt numFmtId="165" formatCode="&quot;£&quot;#,##0.00"/>
    </dxf>
    <dxf>
      <numFmt numFmtId="30" formatCode="@"/>
    </dxf>
    <dxf>
      <numFmt numFmtId="30" formatCode="@"/>
    </dxf>
    <dxf>
      <numFmt numFmtId="30" formatCode="@"/>
    </dxf>
    <dxf>
      <numFmt numFmtId="19" formatCode="dd/mm/yyyy"/>
    </dxf>
    <dxf>
      <numFmt numFmtId="19" formatCode="dd/mm/yyyy"/>
    </dxf>
    <dxf>
      <numFmt numFmtId="19" formatCode="dd/mm/yy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002060"/>
        </patternFill>
      </fill>
    </dxf>
    <dxf>
      <fill>
        <patternFill>
          <bgColor rgb="FF002060"/>
        </patternFill>
      </fill>
    </dxf>
    <dxf>
      <fill>
        <patternFill>
          <bgColor theme="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theme="3"/>
        </patternFill>
      </fill>
    </dxf>
    <dxf>
      <fill>
        <patternFill>
          <bgColor theme="3"/>
        </patternFill>
      </fill>
    </dxf>
    <dxf>
      <fill>
        <patternFill>
          <bgColor theme="3"/>
        </patternFill>
      </fill>
    </dxf>
    <dxf>
      <fill>
        <patternFill>
          <bgColor theme="3"/>
        </patternFill>
      </fill>
    </dxf>
  </dxfs>
  <tableStyles count="7" defaultTableStyle="TableStyleMedium2" defaultPivotStyle="PivotStyleLight16">
    <tableStyle name="Slicer Style 1" pivot="0" table="0" count="1" xr9:uid="{CE08F502-C6CD-4387-92CA-C44F0353AB11}">
      <tableStyleElement type="wholeTable" dxfId="52"/>
    </tableStyle>
    <tableStyle name="Slicer Style 2" pivot="0" table="0" count="4" xr9:uid="{077090FE-EC92-40D8-B871-04B5BBCF83D2}">
      <tableStyleElement type="wholeTable" dxfId="51"/>
      <tableStyleElement type="headerRow" dxfId="50"/>
    </tableStyle>
    <tableStyle name="Slicer Style 3" pivot="0" table="0" count="2" xr9:uid="{9009E2B9-5C14-4B4E-A0F5-0A7B6749CEB2}">
      <tableStyleElement type="headerRow" dxfId="49"/>
    </tableStyle>
    <tableStyle name="Slicer Style 4" pivot="0" table="0" count="2" xr9:uid="{FCAA877D-479F-493B-A6F9-227877DAB2F2}">
      <tableStyleElement type="headerRow" dxfId="48"/>
    </tableStyle>
    <tableStyle name="Slicer Style 5" pivot="0" table="0" count="3" xr9:uid="{DA4A7589-A121-4B43-9746-3FF2CF8EE8E7}">
      <tableStyleElement type="wholeTable" dxfId="47"/>
      <tableStyleElement type="headerRow" dxfId="46"/>
    </tableStyle>
    <tableStyle name="Slicer Style 6" pivot="0" table="0" count="10" xr9:uid="{72986F43-EA59-4D50-8F61-F959552DC2A0}">
      <tableStyleElement type="wholeTable" dxfId="45"/>
      <tableStyleElement type="headerRow" dxfId="44"/>
    </tableStyle>
    <tableStyle name="Slicer Style 7" pivot="0" table="0" count="3" xr9:uid="{ACCC12BF-7724-47B4-8170-7D2B4469D011}">
      <tableStyleElement type="wholeTable" dxfId="43"/>
      <tableStyleElement type="headerRow" dxfId="42"/>
    </tableStyle>
  </tableStyles>
  <colors>
    <mruColors>
      <color rgb="FF001C1F"/>
      <color rgb="FFBAC8C9"/>
      <color rgb="FF000D0E"/>
    </mruColors>
  </colors>
  <extLst>
    <ext xmlns:x14="http://schemas.microsoft.com/office/spreadsheetml/2009/9/main" uri="{46F421CA-312F-682f-3DD2-61675219B42D}">
      <x14:dxfs count="14">
        <dxf>
          <fill>
            <patternFill>
              <bgColor theme="2"/>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70C0"/>
            </patternFill>
          </fill>
        </dxf>
        <dxf>
          <fill>
            <patternFill>
              <bgColor rgb="FF002060"/>
            </patternFill>
          </fill>
        </dxf>
        <dxf>
          <fill>
            <patternFill>
              <bgColor rgb="FF002060"/>
            </patternFill>
          </fill>
        </dxf>
        <dxf>
          <fill>
            <patternFill>
              <bgColor theme="4"/>
            </patternFill>
          </fill>
        </dxf>
        <dxf>
          <fill>
            <patternFill>
              <bgColor theme="4"/>
            </patternFill>
          </fill>
        </dxf>
        <dxf>
          <fill>
            <patternFill>
              <bgColor theme="3" tint="0.39994506668294322"/>
            </patternFill>
          </fill>
        </dxf>
        <dxf>
          <fill>
            <patternFill>
              <bgColor theme="3"/>
            </patternFill>
          </fill>
        </dxf>
        <dxf>
          <fill>
            <patternFill>
              <bgColor theme="3"/>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3"/>
            <x14:slicerStyleElement type="selectedItemWithNoData" dxfId="12"/>
          </x14:slicerStyleElements>
        </x14:slicerStyle>
        <x14:slicerStyle name="Slicer Style 3">
          <x14:slicerStyleElements>
            <x14:slicerStyleElement type="selectedItemWithData" dxfId="11"/>
          </x14:slicerStyleElements>
        </x14:slicerStyle>
        <x14:slicerStyle name="Slicer Style 4">
          <x14:slicerStyleElements>
            <x14:slicerStyleElement type="selectedItemWithData" dxfId="10"/>
          </x14:slicerStyleElements>
        </x14:slicerStyle>
        <x14:slicerStyle name="Slicer Style 5">
          <x14:slicerStyleElements>
            <x14:slicerStyleElement type="selectedItemWithData" dxfId="9"/>
          </x14:slicerStyleElements>
        </x14:slicerStyle>
        <x14:slicerStyle name="Slicer Style 6">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7">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TABLE!PivotTable2</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638010066728869E-2"/>
          <c:y val="8.1976897745928465E-2"/>
          <c:w val="0.73590358835389746"/>
          <c:h val="0.81553783062539442"/>
        </c:manualLayout>
      </c:layout>
      <c:lineChart>
        <c:grouping val="standard"/>
        <c:varyColors val="0"/>
        <c:ser>
          <c:idx val="0"/>
          <c:order val="0"/>
          <c:tx>
            <c:strRef>
              <c:f>'PIVOT TABLE'!$B$20:$B$21</c:f>
              <c:strCache>
                <c:ptCount val="1"/>
                <c:pt idx="0">
                  <c:v>2023</c:v>
                </c:pt>
              </c:strCache>
            </c:strRef>
          </c:tx>
          <c:spPr>
            <a:ln w="28575" cap="rnd">
              <a:solidFill>
                <a:schemeClr val="accent1"/>
              </a:solidFill>
              <a:round/>
            </a:ln>
            <a:effectLst/>
          </c:spPr>
          <c:marker>
            <c:symbol val="none"/>
          </c:marker>
          <c:cat>
            <c:strRef>
              <c:f>'PIVOT TABLE'!$A$22:$A$34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TABLE'!$B$22:$B$34</c:f>
              <c:numCache>
                <c:formatCode>General</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0"/>
          <c:extLst>
            <c:ext xmlns:c16="http://schemas.microsoft.com/office/drawing/2014/chart" uri="{C3380CC4-5D6E-409C-BE32-E72D297353CC}">
              <c16:uniqueId val="{00000000-9822-4499-A90B-90C8C264237D}"/>
            </c:ext>
          </c:extLst>
        </c:ser>
        <c:ser>
          <c:idx val="1"/>
          <c:order val="1"/>
          <c:tx>
            <c:strRef>
              <c:f>'PIVOT TABLE'!$C$20:$C$21</c:f>
              <c:strCache>
                <c:ptCount val="1"/>
                <c:pt idx="0">
                  <c:v>2024</c:v>
                </c:pt>
              </c:strCache>
            </c:strRef>
          </c:tx>
          <c:spPr>
            <a:ln w="28575" cap="rnd">
              <a:solidFill>
                <a:schemeClr val="accent2"/>
              </a:solidFill>
              <a:round/>
            </a:ln>
            <a:effectLst/>
          </c:spPr>
          <c:marker>
            <c:symbol val="none"/>
          </c:marker>
          <c:cat>
            <c:strRef>
              <c:f>'PIVOT TABLE'!$A$22:$A$34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TABLE'!$C$22:$C$34</c:f>
              <c:numCache>
                <c:formatCode>General</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0"/>
          <c:extLst>
            <c:ext xmlns:c16="http://schemas.microsoft.com/office/drawing/2014/chart" uri="{C3380CC4-5D6E-409C-BE32-E72D297353CC}">
              <c16:uniqueId val="{00000001-9822-4499-A90B-90C8C264237D}"/>
            </c:ext>
          </c:extLst>
        </c:ser>
        <c:dLbls>
          <c:showLegendKey val="0"/>
          <c:showVal val="0"/>
          <c:showCatName val="0"/>
          <c:showSerName val="0"/>
          <c:showPercent val="0"/>
          <c:showBubbleSize val="0"/>
        </c:dLbls>
        <c:smooth val="0"/>
        <c:axId val="1893742848"/>
        <c:axId val="1893743808"/>
      </c:lineChart>
      <c:catAx>
        <c:axId val="189374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743808"/>
        <c:crosses val="autoZero"/>
        <c:auto val="1"/>
        <c:lblAlgn val="ctr"/>
        <c:lblOffset val="100"/>
        <c:noMultiLvlLbl val="0"/>
      </c:catAx>
      <c:valAx>
        <c:axId val="189374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74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64005951763955E-2"/>
          <c:y val="0.17090543077204048"/>
          <c:w val="0.73488880913925314"/>
          <c:h val="0.74818212152878383"/>
        </c:manualLayout>
      </c:layout>
      <c:barChart>
        <c:barDir val="bar"/>
        <c:grouping val="clustered"/>
        <c:varyColors val="0"/>
        <c:ser>
          <c:idx val="0"/>
          <c:order val="0"/>
          <c:tx>
            <c:strRef>
              <c:f>'PIVOT TABLE'!$B$50:$B$51</c:f>
              <c:strCache>
                <c:ptCount val="1"/>
                <c:pt idx="0">
                  <c:v>2023</c:v>
                </c:pt>
              </c:strCache>
            </c:strRef>
          </c:tx>
          <c:spPr>
            <a:solidFill>
              <a:schemeClr val="accent1"/>
            </a:solidFill>
            <a:ln>
              <a:noFill/>
            </a:ln>
            <a:effectLst/>
          </c:spPr>
          <c:invertIfNegative val="0"/>
          <c:cat>
            <c:strRef>
              <c:f>'PIVOT TABLE'!$A$52:$A$56</c:f>
              <c:strCache>
                <c:ptCount val="4"/>
                <c:pt idx="0">
                  <c:v>East</c:v>
                </c:pt>
                <c:pt idx="1">
                  <c:v>North</c:v>
                </c:pt>
                <c:pt idx="2">
                  <c:v>South</c:v>
                </c:pt>
                <c:pt idx="3">
                  <c:v>West</c:v>
                </c:pt>
              </c:strCache>
            </c:strRef>
          </c:cat>
          <c:val>
            <c:numRef>
              <c:f>'PIVOT TABLE'!$B$52:$B$56</c:f>
              <c:numCache>
                <c:formatCode>General</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2AD2-4F74-A788-7605EFDAB000}"/>
            </c:ext>
          </c:extLst>
        </c:ser>
        <c:ser>
          <c:idx val="1"/>
          <c:order val="1"/>
          <c:tx>
            <c:strRef>
              <c:f>'PIVOT TABLE'!$C$50:$C$51</c:f>
              <c:strCache>
                <c:ptCount val="1"/>
                <c:pt idx="0">
                  <c:v>2024</c:v>
                </c:pt>
              </c:strCache>
            </c:strRef>
          </c:tx>
          <c:spPr>
            <a:solidFill>
              <a:schemeClr val="accent2"/>
            </a:solidFill>
            <a:ln>
              <a:noFill/>
            </a:ln>
            <a:effectLst/>
          </c:spPr>
          <c:invertIfNegative val="0"/>
          <c:cat>
            <c:strRef>
              <c:f>'PIVOT TABLE'!$A$52:$A$56</c:f>
              <c:strCache>
                <c:ptCount val="4"/>
                <c:pt idx="0">
                  <c:v>East</c:v>
                </c:pt>
                <c:pt idx="1">
                  <c:v>North</c:v>
                </c:pt>
                <c:pt idx="2">
                  <c:v>South</c:v>
                </c:pt>
                <c:pt idx="3">
                  <c:v>West</c:v>
                </c:pt>
              </c:strCache>
            </c:strRef>
          </c:cat>
          <c:val>
            <c:numRef>
              <c:f>'PIVOT TABLE'!$C$52:$C$56</c:f>
              <c:numCache>
                <c:formatCode>General</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2AD2-4F74-A788-7605EFDAB000}"/>
            </c:ext>
          </c:extLst>
        </c:ser>
        <c:dLbls>
          <c:showLegendKey val="0"/>
          <c:showVal val="0"/>
          <c:showCatName val="0"/>
          <c:showSerName val="0"/>
          <c:showPercent val="0"/>
          <c:showBubbleSize val="0"/>
        </c:dLbls>
        <c:gapWidth val="182"/>
        <c:axId val="1893753888"/>
        <c:axId val="1893739008"/>
      </c:barChart>
      <c:catAx>
        <c:axId val="189375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739008"/>
        <c:crosses val="autoZero"/>
        <c:auto val="1"/>
        <c:lblAlgn val="ctr"/>
        <c:lblOffset val="100"/>
        <c:noMultiLvlLbl val="0"/>
      </c:catAx>
      <c:valAx>
        <c:axId val="1893739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7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TABLE'!$B$38:$B$39</c:f>
              <c:strCache>
                <c:ptCount val="1"/>
                <c:pt idx="0">
                  <c:v>2023</c:v>
                </c:pt>
              </c:strCache>
            </c:strRef>
          </c:tx>
          <c:spPr>
            <a:solidFill>
              <a:schemeClr val="accent1"/>
            </a:solidFill>
            <a:ln>
              <a:noFill/>
            </a:ln>
            <a:effectLst/>
          </c:spPr>
          <c:invertIfNegative val="0"/>
          <c:cat>
            <c:strRef>
              <c:f>'PIVOT TABLE'!$A$40:$A$46</c:f>
              <c:strCache>
                <c:ptCount val="6"/>
                <c:pt idx="0">
                  <c:v>Headphones</c:v>
                </c:pt>
                <c:pt idx="1">
                  <c:v>Keyboard</c:v>
                </c:pt>
                <c:pt idx="2">
                  <c:v>Laptop</c:v>
                </c:pt>
                <c:pt idx="3">
                  <c:v>Monitor</c:v>
                </c:pt>
                <c:pt idx="4">
                  <c:v>Mouse</c:v>
                </c:pt>
                <c:pt idx="5">
                  <c:v>Printer</c:v>
                </c:pt>
              </c:strCache>
            </c:strRef>
          </c:cat>
          <c:val>
            <c:numRef>
              <c:f>'PIVOT TABLE'!$B$40:$B$46</c:f>
              <c:numCache>
                <c:formatCode>General</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1881-4B8F-BA00-8729C4330A1E}"/>
            </c:ext>
          </c:extLst>
        </c:ser>
        <c:ser>
          <c:idx val="1"/>
          <c:order val="1"/>
          <c:tx>
            <c:strRef>
              <c:f>'PIVOT TABLE'!$C$38:$C$39</c:f>
              <c:strCache>
                <c:ptCount val="1"/>
                <c:pt idx="0">
                  <c:v>2024</c:v>
                </c:pt>
              </c:strCache>
            </c:strRef>
          </c:tx>
          <c:spPr>
            <a:solidFill>
              <a:schemeClr val="accent2"/>
            </a:solidFill>
            <a:ln>
              <a:noFill/>
            </a:ln>
            <a:effectLst/>
          </c:spPr>
          <c:invertIfNegative val="0"/>
          <c:cat>
            <c:strRef>
              <c:f>'PIVOT TABLE'!$A$40:$A$46</c:f>
              <c:strCache>
                <c:ptCount val="6"/>
                <c:pt idx="0">
                  <c:v>Headphones</c:v>
                </c:pt>
                <c:pt idx="1">
                  <c:v>Keyboard</c:v>
                </c:pt>
                <c:pt idx="2">
                  <c:v>Laptop</c:v>
                </c:pt>
                <c:pt idx="3">
                  <c:v>Monitor</c:v>
                </c:pt>
                <c:pt idx="4">
                  <c:v>Mouse</c:v>
                </c:pt>
                <c:pt idx="5">
                  <c:v>Printer</c:v>
                </c:pt>
              </c:strCache>
            </c:strRef>
          </c:cat>
          <c:val>
            <c:numRef>
              <c:f>'PIVOT TABLE'!$C$40:$C$46</c:f>
              <c:numCache>
                <c:formatCode>General</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1881-4B8F-BA00-8729C4330A1E}"/>
            </c:ext>
          </c:extLst>
        </c:ser>
        <c:dLbls>
          <c:showLegendKey val="0"/>
          <c:showVal val="0"/>
          <c:showCatName val="0"/>
          <c:showSerName val="0"/>
          <c:showPercent val="0"/>
          <c:showBubbleSize val="0"/>
        </c:dLbls>
        <c:gapWidth val="219"/>
        <c:overlap val="-27"/>
        <c:axId val="1864123920"/>
        <c:axId val="1864131600"/>
      </c:barChart>
      <c:catAx>
        <c:axId val="186412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131600"/>
        <c:crosses val="autoZero"/>
        <c:auto val="1"/>
        <c:lblAlgn val="ctr"/>
        <c:lblOffset val="100"/>
        <c:noMultiLvlLbl val="0"/>
      </c:catAx>
      <c:valAx>
        <c:axId val="186413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12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Performance.xlsx]Pivottable2!PivotTable6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Trend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Pivottable2!$A$4:$A$6</c:f>
              <c:strCache>
                <c:ptCount val="2"/>
                <c:pt idx="0">
                  <c:v>2023</c:v>
                </c:pt>
                <c:pt idx="1">
                  <c:v>2024</c:v>
                </c:pt>
              </c:strCache>
            </c:strRef>
          </c:cat>
          <c:val>
            <c:numRef>
              <c:f>Pivottable2!$B$4:$B$6</c:f>
              <c:numCache>
                <c:formatCode>"£"#,##0</c:formatCode>
                <c:ptCount val="2"/>
                <c:pt idx="0">
                  <c:v>365643.99000000028</c:v>
                </c:pt>
                <c:pt idx="1">
                  <c:v>475604.68999999954</c:v>
                </c:pt>
              </c:numCache>
            </c:numRef>
          </c:val>
          <c:smooth val="0"/>
          <c:extLst>
            <c:ext xmlns:c16="http://schemas.microsoft.com/office/drawing/2014/chart" uri="{C3380CC4-5D6E-409C-BE32-E72D297353CC}">
              <c16:uniqueId val="{00000000-D3F7-4B84-81D0-FF790FDDB5C0}"/>
            </c:ext>
          </c:extLst>
        </c:ser>
        <c:dLbls>
          <c:dLblPos val="t"/>
          <c:showLegendKey val="0"/>
          <c:showVal val="1"/>
          <c:showCatName val="0"/>
          <c:showSerName val="0"/>
          <c:showPercent val="0"/>
          <c:showBubbleSize val="0"/>
        </c:dLbls>
        <c:smooth val="0"/>
        <c:axId val="331243391"/>
        <c:axId val="331243871"/>
      </c:lineChart>
      <c:catAx>
        <c:axId val="33124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1243871"/>
        <c:crosses val="autoZero"/>
        <c:auto val="1"/>
        <c:lblAlgn val="ctr"/>
        <c:lblOffset val="100"/>
        <c:noMultiLvlLbl val="0"/>
      </c:catAx>
      <c:valAx>
        <c:axId val="33124387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124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Performance.xlsx]Pivottable2!PivotTable12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 </a:t>
            </a:r>
            <a:r>
              <a:rPr lang="en-US" baseline="0">
                <a:solidFill>
                  <a:schemeClr val="bg1"/>
                </a:solidFill>
              </a:rPr>
              <a:t>Distribution Across Product Categories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07859097444459"/>
          <c:y val="0.20895774647887325"/>
          <c:w val="0.72155498888662939"/>
          <c:h val="0.66034778751247647"/>
        </c:manualLayout>
      </c:layout>
      <c:barChart>
        <c:barDir val="bar"/>
        <c:grouping val="clustered"/>
        <c:varyColors val="0"/>
        <c:ser>
          <c:idx val="0"/>
          <c:order val="0"/>
          <c:tx>
            <c:strRef>
              <c:f>Pivottable2!$C$34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Pivottable2!$B$35:$B$43</c:f>
              <c:multiLvlStrCache>
                <c:ptCount val="6"/>
                <c:lvl>
                  <c:pt idx="0">
                    <c:v>Headphones</c:v>
                  </c:pt>
                  <c:pt idx="1">
                    <c:v>Keyboard</c:v>
                  </c:pt>
                  <c:pt idx="2">
                    <c:v>Mouse</c:v>
                  </c:pt>
                  <c:pt idx="3">
                    <c:v>Laptop</c:v>
                  </c:pt>
                  <c:pt idx="4">
                    <c:v>Monitor</c:v>
                  </c:pt>
                  <c:pt idx="5">
                    <c:v>Printer</c:v>
                  </c:pt>
                </c:lvl>
                <c:lvl>
                  <c:pt idx="0">
                    <c:v>Accessories</c:v>
                  </c:pt>
                  <c:pt idx="3">
                    <c:v>Electronics</c:v>
                  </c:pt>
                </c:lvl>
              </c:multiLvlStrCache>
            </c:multiLvlStrRef>
          </c:cat>
          <c:val>
            <c:numRef>
              <c:f>Pivottable2!$C$35:$C$43</c:f>
              <c:numCache>
                <c:formatCode>"£"#,##0</c:formatCode>
                <c:ptCount val="6"/>
                <c:pt idx="0">
                  <c:v>142200.42000000007</c:v>
                </c:pt>
                <c:pt idx="1">
                  <c:v>122450.02</c:v>
                </c:pt>
                <c:pt idx="2">
                  <c:v>127419.32000000002</c:v>
                </c:pt>
                <c:pt idx="3">
                  <c:v>107907.07999999999</c:v>
                </c:pt>
                <c:pt idx="4">
                  <c:v>126569.36000000002</c:v>
                </c:pt>
                <c:pt idx="5">
                  <c:v>93182.580000000031</c:v>
                </c:pt>
              </c:numCache>
            </c:numRef>
          </c:val>
          <c:extLst>
            <c:ext xmlns:c16="http://schemas.microsoft.com/office/drawing/2014/chart" uri="{C3380CC4-5D6E-409C-BE32-E72D297353CC}">
              <c16:uniqueId val="{00000000-E73F-4DC8-9496-1CCC24C696FF}"/>
            </c:ext>
          </c:extLst>
        </c:ser>
        <c:dLbls>
          <c:dLblPos val="outEnd"/>
          <c:showLegendKey val="0"/>
          <c:showVal val="1"/>
          <c:showCatName val="0"/>
          <c:showSerName val="0"/>
          <c:showPercent val="0"/>
          <c:showBubbleSize val="0"/>
        </c:dLbls>
        <c:gapWidth val="182"/>
        <c:axId val="469965839"/>
        <c:axId val="469965359"/>
      </c:barChart>
      <c:catAx>
        <c:axId val="46996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965359"/>
        <c:crosses val="autoZero"/>
        <c:auto val="1"/>
        <c:lblAlgn val="ctr"/>
        <c:lblOffset val="100"/>
        <c:noMultiLvlLbl val="0"/>
      </c:catAx>
      <c:valAx>
        <c:axId val="469965359"/>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96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Performance.xlsx]Pivottable2!PivotTable13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Quarterly</a:t>
            </a:r>
            <a:r>
              <a:rPr lang="en-GB" baseline="0">
                <a:solidFill>
                  <a:schemeClr val="bg1"/>
                </a:solidFill>
              </a:rPr>
              <a:t> Profitability Breakdown</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58148344395485896"/>
                  <c:h val="0.15285324356333652"/>
                </c:manualLayout>
              </c15:layout>
            </c:ext>
          </c:extLst>
        </c:dLbl>
      </c:pivotFmt>
      <c:pivotFmt>
        <c:idx val="10"/>
        <c:spPr>
          <a:solidFill>
            <a:schemeClr val="accent1"/>
          </a:solidFill>
          <a:ln>
            <a:noFill/>
          </a:ln>
          <a:effectLst/>
        </c:spPr>
        <c:dLbl>
          <c:idx val="0"/>
          <c:layout>
            <c:manualLayout>
              <c:x val="6.5418982086260333E-2"/>
              <c:y val="-1.7646603819640543E-2"/>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6171365023636117"/>
                  <c:h val="0.11167675390308193"/>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5274552743619324"/>
                  <c:h val="9.4029686905829968E-2"/>
                </c:manualLayout>
              </c15:layout>
            </c:ext>
          </c:extLst>
        </c:dLbl>
      </c:pivotFmt>
      <c:pivotFmt>
        <c:idx val="12"/>
        <c:spPr>
          <a:solidFill>
            <a:schemeClr val="accent1"/>
          </a:solidFill>
          <a:ln>
            <a:noFill/>
          </a:ln>
          <a:effectLst/>
        </c:spPr>
        <c:dLbl>
          <c:idx val="0"/>
          <c:layout>
            <c:manualLayout>
              <c:x val="4.522480485893187E-2"/>
              <c:y val="2.3158880573821479E-7"/>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6171365023636117"/>
                  <c:h val="6.461790857707668E-2"/>
                </c:manualLayout>
              </c15:layout>
            </c:ext>
          </c:extLst>
        </c:dLbl>
      </c:pivotFmt>
      <c:pivotFmt>
        <c:idx val="13"/>
        <c:spPr>
          <a:solidFill>
            <a:schemeClr val="accent1"/>
          </a:solidFill>
          <a:ln>
            <a:noFill/>
          </a:ln>
          <a:effectLst/>
        </c:spPr>
        <c:dLbl>
          <c:idx val="0"/>
          <c:layout>
            <c:manualLayout>
              <c:x val="7.145631941977762E-2"/>
              <c:y val="1.1764711331501311E-2"/>
            </c:manualLayout>
          </c:layout>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c:spPr>
        <c:dLbl>
          <c:idx val="0"/>
          <c:layout>
            <c:manualLayout>
              <c:x val="4.9708743944193126E-2"/>
              <c:y val="1.7647066997251968E-2"/>
            </c:manualLayout>
          </c:layout>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a:noFill/>
          </a:ln>
          <a:effectLst/>
        </c:spPr>
        <c:dLbl>
          <c:idx val="0"/>
          <c:layout>
            <c:manualLayout>
              <c:x val="6.5242726426753425E-2"/>
              <c:y val="-5.8823556657507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Pivottable2!$C$49</c:f>
              <c:strCache>
                <c:ptCount val="1"/>
                <c:pt idx="0">
                  <c:v>Sum of Cost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Pivottable2!$B$50:$B$54</c:f>
              <c:strCache>
                <c:ptCount val="4"/>
                <c:pt idx="0">
                  <c:v>Q1</c:v>
                </c:pt>
                <c:pt idx="1">
                  <c:v>Q2</c:v>
                </c:pt>
                <c:pt idx="2">
                  <c:v>Q3</c:v>
                </c:pt>
                <c:pt idx="3">
                  <c:v>Q4</c:v>
                </c:pt>
              </c:strCache>
            </c:strRef>
          </c:cat>
          <c:val>
            <c:numRef>
              <c:f>Pivottable2!$C$50:$C$54</c:f>
              <c:numCache>
                <c:formatCode>"£"#,##0</c:formatCode>
                <c:ptCount val="4"/>
                <c:pt idx="0">
                  <c:v>29838.76</c:v>
                </c:pt>
                <c:pt idx="1">
                  <c:v>24379.829999999991</c:v>
                </c:pt>
                <c:pt idx="2">
                  <c:v>34774.869999999995</c:v>
                </c:pt>
                <c:pt idx="3">
                  <c:v>32526.439999999995</c:v>
                </c:pt>
              </c:numCache>
            </c:numRef>
          </c:val>
          <c:extLst>
            <c:ext xmlns:c16="http://schemas.microsoft.com/office/drawing/2014/chart" uri="{C3380CC4-5D6E-409C-BE32-E72D297353CC}">
              <c16:uniqueId val="{00000000-09D0-44C0-AD70-CF9298C29577}"/>
            </c:ext>
          </c:extLst>
        </c:ser>
        <c:ser>
          <c:idx val="1"/>
          <c:order val="1"/>
          <c:tx>
            <c:strRef>
              <c:f>Pivottable2!$D$49</c:f>
              <c:strCache>
                <c:ptCount val="1"/>
                <c:pt idx="0">
                  <c:v>Sum of Sales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09D0-44C0-AD70-CF9298C2957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9-09D0-44C0-AD70-CF9298C29577}"/>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09D0-44C0-AD70-CF9298C29577}"/>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58148344395485896"/>
                      <c:h val="0.15285324356333652"/>
                    </c:manualLayout>
                  </c15:layout>
                </c:ext>
                <c:ext xmlns:c16="http://schemas.microsoft.com/office/drawing/2014/chart" uri="{C3380CC4-5D6E-409C-BE32-E72D297353CC}">
                  <c16:uniqueId val="{00000003-09D0-44C0-AD70-CF9298C29577}"/>
                </c:ext>
              </c:extLst>
            </c:dLbl>
            <c:dLbl>
              <c:idx val="1"/>
              <c:layout>
                <c:manualLayout>
                  <c:x val="6.5242726426753425E-2"/>
                  <c:y val="-5.8823556657507095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09D0-44C0-AD70-CF9298C29577}"/>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5274552743619324"/>
                      <c:h val="9.4029686905829968E-2"/>
                    </c:manualLayout>
                  </c15:layout>
                </c:ext>
                <c:ext xmlns:c16="http://schemas.microsoft.com/office/drawing/2014/chart" uri="{C3380CC4-5D6E-409C-BE32-E72D297353CC}">
                  <c16:uniqueId val="{00000005-09D0-44C0-AD70-CF9298C295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Pivottable2!$B$50:$B$54</c:f>
              <c:strCache>
                <c:ptCount val="4"/>
                <c:pt idx="0">
                  <c:v>Q1</c:v>
                </c:pt>
                <c:pt idx="1">
                  <c:v>Q2</c:v>
                </c:pt>
                <c:pt idx="2">
                  <c:v>Q3</c:v>
                </c:pt>
                <c:pt idx="3">
                  <c:v>Q4</c:v>
                </c:pt>
              </c:strCache>
            </c:strRef>
          </c:cat>
          <c:val>
            <c:numRef>
              <c:f>Pivottable2!$D$50:$D$54</c:f>
              <c:numCache>
                <c:formatCode>"£"#,##0</c:formatCode>
                <c:ptCount val="4"/>
                <c:pt idx="0">
                  <c:v>219961.11000000004</c:v>
                </c:pt>
                <c:pt idx="1">
                  <c:v>173419.96000000005</c:v>
                </c:pt>
                <c:pt idx="2">
                  <c:v>223581.24999999991</c:v>
                </c:pt>
                <c:pt idx="3">
                  <c:v>224286.36</c:v>
                </c:pt>
              </c:numCache>
            </c:numRef>
          </c:val>
          <c:extLst>
            <c:ext xmlns:c16="http://schemas.microsoft.com/office/drawing/2014/chart" uri="{C3380CC4-5D6E-409C-BE32-E72D297353CC}">
              <c16:uniqueId val="{00000001-09D0-44C0-AD70-CF9298C29577}"/>
            </c:ext>
          </c:extLst>
        </c:ser>
        <c:ser>
          <c:idx val="2"/>
          <c:order val="2"/>
          <c:tx>
            <c:strRef>
              <c:f>Pivottable2!$E$49</c:f>
              <c:strCache>
                <c:ptCount val="1"/>
                <c:pt idx="0">
                  <c:v>Sum of Profit</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4-09D0-44C0-AD70-CF9298C29577}"/>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6-09D0-44C0-AD70-CF9298C2957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8-09D0-44C0-AD70-CF9298C29577}"/>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09D0-44C0-AD70-CF9298C29577}"/>
              </c:ext>
            </c:extLst>
          </c:dPt>
          <c:dLbls>
            <c:dLbl>
              <c:idx val="0"/>
              <c:layout>
                <c:manualLayout>
                  <c:x val="6.5418982086260333E-2"/>
                  <c:y val="-1.7646603819640543E-2"/>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6171365023636117"/>
                      <c:h val="0.11167675390308193"/>
                    </c:manualLayout>
                  </c15:layout>
                </c:ext>
                <c:ext xmlns:c16="http://schemas.microsoft.com/office/drawing/2014/chart" uri="{C3380CC4-5D6E-409C-BE32-E72D297353CC}">
                  <c16:uniqueId val="{00000004-09D0-44C0-AD70-CF9298C29577}"/>
                </c:ext>
              </c:extLst>
            </c:dLbl>
            <c:dLbl>
              <c:idx val="1"/>
              <c:layout>
                <c:manualLayout>
                  <c:x val="4.522480485893187E-2"/>
                  <c:y val="2.3158880573821479E-7"/>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6171365023636117"/>
                      <c:h val="6.461790857707668E-2"/>
                    </c:manualLayout>
                  </c15:layout>
                </c:ext>
                <c:ext xmlns:c16="http://schemas.microsoft.com/office/drawing/2014/chart" uri="{C3380CC4-5D6E-409C-BE32-E72D297353CC}">
                  <c16:uniqueId val="{00000006-09D0-44C0-AD70-CF9298C29577}"/>
                </c:ext>
              </c:extLst>
            </c:dLbl>
            <c:dLbl>
              <c:idx val="2"/>
              <c:layout>
                <c:manualLayout>
                  <c:x val="4.9708743944193126E-2"/>
                  <c:y val="1.764706699725196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09D0-44C0-AD70-CF9298C29577}"/>
                </c:ext>
              </c:extLst>
            </c:dLbl>
            <c:dLbl>
              <c:idx val="3"/>
              <c:layout>
                <c:manualLayout>
                  <c:x val="7.145631941977762E-2"/>
                  <c:y val="1.176471133150131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09D0-44C0-AD70-CF9298C29577}"/>
                </c:ext>
              </c:extLst>
            </c:dLbl>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Pivottable2!$B$50:$B$54</c:f>
              <c:strCache>
                <c:ptCount val="4"/>
                <c:pt idx="0">
                  <c:v>Q1</c:v>
                </c:pt>
                <c:pt idx="1">
                  <c:v>Q2</c:v>
                </c:pt>
                <c:pt idx="2">
                  <c:v>Q3</c:v>
                </c:pt>
                <c:pt idx="3">
                  <c:v>Q4</c:v>
                </c:pt>
              </c:strCache>
            </c:strRef>
          </c:cat>
          <c:val>
            <c:numRef>
              <c:f>Pivottable2!$E$50:$E$54</c:f>
              <c:numCache>
                <c:formatCode>"£"#,##0</c:formatCode>
                <c:ptCount val="4"/>
                <c:pt idx="0">
                  <c:v>190122.34999999998</c:v>
                </c:pt>
                <c:pt idx="1">
                  <c:v>149040.13000000006</c:v>
                </c:pt>
                <c:pt idx="2">
                  <c:v>188806.37999999995</c:v>
                </c:pt>
                <c:pt idx="3">
                  <c:v>191759.92000000007</c:v>
                </c:pt>
              </c:numCache>
            </c:numRef>
          </c:val>
          <c:extLst>
            <c:ext xmlns:c16="http://schemas.microsoft.com/office/drawing/2014/chart" uri="{C3380CC4-5D6E-409C-BE32-E72D297353CC}">
              <c16:uniqueId val="{00000002-09D0-44C0-AD70-CF9298C29577}"/>
            </c:ext>
          </c:extLst>
        </c:ser>
        <c:dLbls>
          <c:showLegendKey val="0"/>
          <c:showVal val="1"/>
          <c:showCatName val="0"/>
          <c:showSerName val="0"/>
          <c:showPercent val="0"/>
          <c:showBubbleSize val="0"/>
        </c:dLbls>
        <c:gapWidth val="200"/>
        <c:axId val="469967279"/>
        <c:axId val="469967759"/>
      </c:barChart>
      <c:catAx>
        <c:axId val="469967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967759"/>
        <c:crosses val="autoZero"/>
        <c:auto val="1"/>
        <c:lblAlgn val="ctr"/>
        <c:lblOffset val="100"/>
        <c:noMultiLvlLbl val="0"/>
      </c:catAx>
      <c:valAx>
        <c:axId val="46996775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96727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Performance.xlsx]Pivottable2!PivotTable8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Sales Growth and Profitability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0704495960738225E-2"/>
              <c:y val="2.0664201838811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576111367106479"/>
                  <c:h val="8.8472536601670898E-2"/>
                </c:manualLayout>
              </c15:layout>
            </c:ext>
          </c:extLst>
        </c:dLbl>
      </c:pivotFmt>
      <c:pivotFmt>
        <c:idx val="7"/>
        <c:spPr>
          <a:solidFill>
            <a:schemeClr val="accent1"/>
          </a:solidFill>
          <a:ln>
            <a:noFill/>
          </a:ln>
          <a:effectLst/>
        </c:spPr>
        <c:dLbl>
          <c:idx val="0"/>
          <c:layout>
            <c:manualLayout>
              <c:x val="-3.1311150739029445E-2"/>
              <c:y val="5.9040576682319393E-3"/>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7573380886835338E-2"/>
              <c:y val="5.9040576682319393E-3"/>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4442265812932395E-2"/>
              <c:y val="2.0664201838811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828557396667654"/>
                  <c:h val="5.3048190592279262E-2"/>
                </c:manualLayout>
              </c15:layout>
            </c:ext>
          </c:extLst>
        </c:dLbl>
      </c:pivotFmt>
      <c:pivotFmt>
        <c:idx val="10"/>
        <c:spPr>
          <a:solidFill>
            <a:schemeClr val="accent1"/>
          </a:solidFill>
          <a:ln>
            <a:noFill/>
          </a:ln>
          <a:effectLst/>
        </c:spPr>
        <c:dLbl>
          <c:idx val="0"/>
          <c:layout>
            <c:manualLayout>
              <c:x val="4.0704495960738281E-2"/>
              <c:y val="-2.95202883411596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1311150739029445E-2"/>
              <c:y val="1.1808115336463879E-2"/>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0097841182447117E-2"/>
              <c:y val="-5.411990342771681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3.1311150739029445E-2"/>
              <c:y val="-1.7712173004695818E-2"/>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Pivottable2!$B$17</c:f>
              <c:strCache>
                <c:ptCount val="1"/>
                <c:pt idx="0">
                  <c:v>Sum of Profit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6217-4F84-85AB-41A182866BA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6217-4F84-85AB-41A182866BA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9-6217-4F84-85AB-41A182866BA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6217-4F84-85AB-41A182866BA7}"/>
              </c:ext>
            </c:extLst>
          </c:dPt>
          <c:dLbls>
            <c:dLbl>
              <c:idx val="0"/>
              <c:layout>
                <c:manualLayout>
                  <c:x val="-3.1311150739029445E-2"/>
                  <c:y val="5.90405766823193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17-4F84-85AB-41A182866BA7}"/>
                </c:ext>
              </c:extLst>
            </c:dLbl>
            <c:dLbl>
              <c:idx val="1"/>
              <c:layout>
                <c:manualLayout>
                  <c:x val="-3.7573380886835338E-2"/>
                  <c:y val="5.90405766823193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17-4F84-85AB-41A182866BA7}"/>
                </c:ext>
              </c:extLst>
            </c:dLbl>
            <c:dLbl>
              <c:idx val="2"/>
              <c:layout>
                <c:manualLayout>
                  <c:x val="-3.1311150739029445E-2"/>
                  <c:y val="-1.77121730046958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217-4F84-85AB-41A182866BA7}"/>
                </c:ext>
              </c:extLst>
            </c:dLbl>
            <c:dLbl>
              <c:idx val="3"/>
              <c:layout>
                <c:manualLayout>
                  <c:x val="-3.1311150739029445E-2"/>
                  <c:y val="1.18081153364638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17-4F84-85AB-41A182866BA7}"/>
                </c:ext>
              </c:extLst>
            </c:dLbl>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Pivottable2!$A$18:$A$22</c:f>
              <c:strCache>
                <c:ptCount val="4"/>
                <c:pt idx="0">
                  <c:v>Q1</c:v>
                </c:pt>
                <c:pt idx="1">
                  <c:v>Q2</c:v>
                </c:pt>
                <c:pt idx="2">
                  <c:v>Q3</c:v>
                </c:pt>
                <c:pt idx="3">
                  <c:v>Q4</c:v>
                </c:pt>
              </c:strCache>
            </c:strRef>
          </c:cat>
          <c:val>
            <c:numRef>
              <c:f>Pivottable2!$B$18:$B$22</c:f>
              <c:numCache>
                <c:formatCode>"£"#,##0</c:formatCode>
                <c:ptCount val="4"/>
                <c:pt idx="0">
                  <c:v>190122.34999999998</c:v>
                </c:pt>
                <c:pt idx="1">
                  <c:v>149040.13000000006</c:v>
                </c:pt>
                <c:pt idx="2">
                  <c:v>188806.37999999995</c:v>
                </c:pt>
                <c:pt idx="3">
                  <c:v>191759.92000000007</c:v>
                </c:pt>
              </c:numCache>
            </c:numRef>
          </c:val>
          <c:extLst>
            <c:ext xmlns:c16="http://schemas.microsoft.com/office/drawing/2014/chart" uri="{C3380CC4-5D6E-409C-BE32-E72D297353CC}">
              <c16:uniqueId val="{00000000-6217-4F84-85AB-41A182866BA7}"/>
            </c:ext>
          </c:extLst>
        </c:ser>
        <c:ser>
          <c:idx val="1"/>
          <c:order val="1"/>
          <c:tx>
            <c:strRef>
              <c:f>Pivottable2!$C$17</c:f>
              <c:strCache>
                <c:ptCount val="1"/>
                <c:pt idx="0">
                  <c:v>Sum of Sales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6217-4F84-85AB-41A182866BA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6217-4F84-85AB-41A182866BA7}"/>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8-6217-4F84-85AB-41A182866BA7}"/>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6-6217-4F84-85AB-41A182866BA7}"/>
              </c:ext>
            </c:extLst>
          </c:dPt>
          <c:dLbls>
            <c:dLbl>
              <c:idx val="0"/>
              <c:layout>
                <c:manualLayout>
                  <c:x val="4.0704495960738225E-2"/>
                  <c:y val="2.0664201838811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576111367106479"/>
                      <c:h val="8.8472536601670898E-2"/>
                    </c:manualLayout>
                  </c15:layout>
                </c:ext>
                <c:ext xmlns:c16="http://schemas.microsoft.com/office/drawing/2014/chart" uri="{C3380CC4-5D6E-409C-BE32-E72D297353CC}">
                  <c16:uniqueId val="{00000002-6217-4F84-85AB-41A182866BA7}"/>
                </c:ext>
              </c:extLst>
            </c:dLbl>
            <c:dLbl>
              <c:idx val="1"/>
              <c:layout>
                <c:manualLayout>
                  <c:x val="3.4442265812932395E-2"/>
                  <c:y val="2.0664201838811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828557396667654"/>
                      <c:h val="5.3048190592279262E-2"/>
                    </c:manualLayout>
                  </c15:layout>
                </c:ext>
                <c:ext xmlns:c16="http://schemas.microsoft.com/office/drawing/2014/chart" uri="{C3380CC4-5D6E-409C-BE32-E72D297353CC}">
                  <c16:uniqueId val="{00000005-6217-4F84-85AB-41A182866BA7}"/>
                </c:ext>
              </c:extLst>
            </c:dLbl>
            <c:dLbl>
              <c:idx val="2"/>
              <c:layout>
                <c:manualLayout>
                  <c:x val="5.0097841182447117E-2"/>
                  <c:y val="-5.411990342771681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217-4F84-85AB-41A182866BA7}"/>
                </c:ext>
              </c:extLst>
            </c:dLbl>
            <c:dLbl>
              <c:idx val="3"/>
              <c:layout>
                <c:manualLayout>
                  <c:x val="4.0704495960738281E-2"/>
                  <c:y val="-2.95202883411596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17-4F84-85AB-41A182866B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Pivottable2!$A$18:$A$22</c:f>
              <c:strCache>
                <c:ptCount val="4"/>
                <c:pt idx="0">
                  <c:v>Q1</c:v>
                </c:pt>
                <c:pt idx="1">
                  <c:v>Q2</c:v>
                </c:pt>
                <c:pt idx="2">
                  <c:v>Q3</c:v>
                </c:pt>
                <c:pt idx="3">
                  <c:v>Q4</c:v>
                </c:pt>
              </c:strCache>
            </c:strRef>
          </c:cat>
          <c:val>
            <c:numRef>
              <c:f>Pivottable2!$C$18:$C$22</c:f>
              <c:numCache>
                <c:formatCode>"£"#,##0</c:formatCode>
                <c:ptCount val="4"/>
                <c:pt idx="0">
                  <c:v>219961.11000000004</c:v>
                </c:pt>
                <c:pt idx="1">
                  <c:v>173419.96000000005</c:v>
                </c:pt>
                <c:pt idx="2">
                  <c:v>223581.24999999991</c:v>
                </c:pt>
                <c:pt idx="3">
                  <c:v>224286.36</c:v>
                </c:pt>
              </c:numCache>
            </c:numRef>
          </c:val>
          <c:extLst>
            <c:ext xmlns:c16="http://schemas.microsoft.com/office/drawing/2014/chart" uri="{C3380CC4-5D6E-409C-BE32-E72D297353CC}">
              <c16:uniqueId val="{00000001-6217-4F84-85AB-41A182866BA7}"/>
            </c:ext>
          </c:extLst>
        </c:ser>
        <c:dLbls>
          <c:dLblPos val="outEnd"/>
          <c:showLegendKey val="0"/>
          <c:showVal val="1"/>
          <c:showCatName val="0"/>
          <c:showSerName val="0"/>
          <c:showPercent val="0"/>
          <c:showBubbleSize val="0"/>
        </c:dLbls>
        <c:gapWidth val="224"/>
        <c:overlap val="-40"/>
        <c:axId val="468393535"/>
        <c:axId val="468392575"/>
      </c:barChart>
      <c:catAx>
        <c:axId val="4683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8392575"/>
        <c:crosses val="autoZero"/>
        <c:auto val="1"/>
        <c:lblAlgn val="ctr"/>
        <c:lblOffset val="100"/>
        <c:noMultiLvlLbl val="0"/>
      </c:catAx>
      <c:valAx>
        <c:axId val="46839257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839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Performance.xlsx]Pivottable2!PivotTable5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Regional</a:t>
            </a:r>
            <a:r>
              <a:rPr lang="en-US" baseline="0">
                <a:solidFill>
                  <a:schemeClr val="bg1"/>
                </a:solidFill>
              </a:rPr>
              <a:t> Sales Performance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Pivottable2!$G$19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Pivottable2!$F$20:$F$24</c:f>
              <c:strCache>
                <c:ptCount val="4"/>
                <c:pt idx="0">
                  <c:v>East</c:v>
                </c:pt>
                <c:pt idx="1">
                  <c:v>North</c:v>
                </c:pt>
                <c:pt idx="2">
                  <c:v>South</c:v>
                </c:pt>
                <c:pt idx="3">
                  <c:v>West</c:v>
                </c:pt>
              </c:strCache>
            </c:strRef>
          </c:cat>
          <c:val>
            <c:numRef>
              <c:f>Pivottable2!$G$20:$G$24</c:f>
              <c:numCache>
                <c:formatCode>"£"#,##0</c:formatCode>
                <c:ptCount val="4"/>
                <c:pt idx="0">
                  <c:v>183466.9</c:v>
                </c:pt>
                <c:pt idx="1">
                  <c:v>182263.16999999998</c:v>
                </c:pt>
                <c:pt idx="2">
                  <c:v>269325.7699999999</c:v>
                </c:pt>
                <c:pt idx="3">
                  <c:v>206192.84</c:v>
                </c:pt>
              </c:numCache>
            </c:numRef>
          </c:val>
          <c:extLst>
            <c:ext xmlns:c16="http://schemas.microsoft.com/office/drawing/2014/chart" uri="{C3380CC4-5D6E-409C-BE32-E72D297353CC}">
              <c16:uniqueId val="{00000000-46F7-4A74-B022-00586B5FAB53}"/>
            </c:ext>
          </c:extLst>
        </c:ser>
        <c:dLbls>
          <c:dLblPos val="outEnd"/>
          <c:showLegendKey val="0"/>
          <c:showVal val="1"/>
          <c:showCatName val="0"/>
          <c:showSerName val="0"/>
          <c:showPercent val="0"/>
          <c:showBubbleSize val="0"/>
        </c:dLbls>
        <c:gapWidth val="219"/>
        <c:overlap val="-27"/>
        <c:axId val="1065622576"/>
        <c:axId val="1065623056"/>
      </c:barChart>
      <c:catAx>
        <c:axId val="10656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623056"/>
        <c:crosses val="autoZero"/>
        <c:auto val="1"/>
        <c:lblAlgn val="ctr"/>
        <c:lblOffset val="100"/>
        <c:noMultiLvlLbl val="0"/>
      </c:catAx>
      <c:valAx>
        <c:axId val="106562305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62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Performance.xlsx]Pivottable2!PivotTable3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Sales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774193548387103E-2"/>
              <c:y val="5.53633097319979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1612903225806424E-2"/>
              <c:y val="-2.2145323892799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2903225806451613E-2"/>
              <c:y val="-4.982697875879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1290322580645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6774193548387101E-3"/>
              <c:y val="-5.53633097319979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9569550883143206E-17"/>
              <c:y val="1.66089929195993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Pivottable2!$M$13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5A08-480B-97A3-AC67895AF25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5A08-480B-97A3-AC67895AF25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5A08-480B-97A3-AC67895AF25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5A08-480B-97A3-AC67895AF251}"/>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4-5A08-480B-97A3-AC67895AF251}"/>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3-5A08-480B-97A3-AC67895AF251}"/>
              </c:ext>
            </c:extLst>
          </c:dPt>
          <c:dLbls>
            <c:dLbl>
              <c:idx val="0"/>
              <c:layout>
                <c:manualLayout>
                  <c:x val="5.1612903225806424E-2"/>
                  <c:y val="-2.21453238927991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A08-480B-97A3-AC67895AF251}"/>
                </c:ext>
              </c:extLst>
            </c:dLbl>
            <c:dLbl>
              <c:idx val="1"/>
              <c:layout>
                <c:manualLayout>
                  <c:x val="-2.9569550883143206E-17"/>
                  <c:y val="1.66089929195993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A08-480B-97A3-AC67895AF251}"/>
                </c:ext>
              </c:extLst>
            </c:dLbl>
            <c:dLbl>
              <c:idx val="3"/>
              <c:layout>
                <c:manualLayout>
                  <c:x val="6.774193548387103E-2"/>
                  <c:y val="5.536330973199798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08-480B-97A3-AC67895AF251}"/>
                </c:ext>
              </c:extLst>
            </c:dLbl>
            <c:dLbl>
              <c:idx val="4"/>
              <c:layout>
                <c:manualLayout>
                  <c:x val="-9.6774193548387101E-3"/>
                  <c:y val="-5.536330973199798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08-480B-97A3-AC67895AF251}"/>
                </c:ext>
              </c:extLst>
            </c:dLbl>
            <c:dLbl>
              <c:idx val="5"/>
              <c:layout>
                <c:manualLayout>
                  <c:x val="1.612903225806451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08-480B-97A3-AC67895AF251}"/>
                </c:ext>
              </c:extLst>
            </c:dLbl>
            <c:dLbl>
              <c:idx val="6"/>
              <c:layout>
                <c:manualLayout>
                  <c:x val="-1.2903225806451613E-2"/>
                  <c:y val="-4.98269787587981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08-480B-97A3-AC67895AF2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Pivottable2!$L$14:$L$24</c:f>
              <c:multiLvlStrCache>
                <c:ptCount val="8"/>
                <c:lvl>
                  <c:pt idx="0">
                    <c:v>Q1</c:v>
                  </c:pt>
                  <c:pt idx="1">
                    <c:v>Q2</c:v>
                  </c:pt>
                  <c:pt idx="2">
                    <c:v>Q3</c:v>
                  </c:pt>
                  <c:pt idx="3">
                    <c:v>Q4</c:v>
                  </c:pt>
                  <c:pt idx="4">
                    <c:v>Q1</c:v>
                  </c:pt>
                  <c:pt idx="5">
                    <c:v>Q2</c:v>
                  </c:pt>
                  <c:pt idx="6">
                    <c:v>Q3</c:v>
                  </c:pt>
                  <c:pt idx="7">
                    <c:v>Q4</c:v>
                  </c:pt>
                </c:lvl>
                <c:lvl>
                  <c:pt idx="0">
                    <c:v>Accessories</c:v>
                  </c:pt>
                  <c:pt idx="4">
                    <c:v>Electronics</c:v>
                  </c:pt>
                </c:lvl>
              </c:multiLvlStrCache>
            </c:multiLvlStrRef>
          </c:cat>
          <c:val>
            <c:numRef>
              <c:f>Pivottable2!$M$14:$M$24</c:f>
              <c:numCache>
                <c:formatCode>"£"#,##0.00</c:formatCode>
                <c:ptCount val="8"/>
                <c:pt idx="0">
                  <c:v>128507.21999999999</c:v>
                </c:pt>
                <c:pt idx="1">
                  <c:v>95547.910000000018</c:v>
                </c:pt>
                <c:pt idx="2">
                  <c:v>110742.79000000002</c:v>
                </c:pt>
                <c:pt idx="3">
                  <c:v>121441.39999999998</c:v>
                </c:pt>
                <c:pt idx="4">
                  <c:v>91453.890000000014</c:v>
                </c:pt>
                <c:pt idx="5">
                  <c:v>77872.050000000017</c:v>
                </c:pt>
                <c:pt idx="6">
                  <c:v>112838.46</c:v>
                </c:pt>
                <c:pt idx="7">
                  <c:v>102844.95999999999</c:v>
                </c:pt>
              </c:numCache>
            </c:numRef>
          </c:val>
          <c:extLst>
            <c:ext xmlns:c16="http://schemas.microsoft.com/office/drawing/2014/chart" uri="{C3380CC4-5D6E-409C-BE32-E72D297353CC}">
              <c16:uniqueId val="{00000000-5A08-480B-97A3-AC67895AF251}"/>
            </c:ext>
          </c:extLst>
        </c:ser>
        <c:dLbls>
          <c:dLblPos val="outEnd"/>
          <c:showLegendKey val="0"/>
          <c:showVal val="1"/>
          <c:showCatName val="0"/>
          <c:showSerName val="0"/>
          <c:showPercent val="0"/>
          <c:showBubbleSize val="0"/>
        </c:dLbls>
        <c:gapWidth val="206"/>
        <c:overlap val="-16"/>
        <c:axId val="1503051424"/>
        <c:axId val="1503049024"/>
      </c:barChart>
      <c:catAx>
        <c:axId val="150305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3049024"/>
        <c:crosses val="autoZero"/>
        <c:auto val="1"/>
        <c:lblAlgn val="ctr"/>
        <c:lblOffset val="100"/>
        <c:noMultiLvlLbl val="0"/>
      </c:catAx>
      <c:valAx>
        <c:axId val="1503049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305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DATA!A1"/><Relationship Id="rId6" Type="http://schemas.openxmlformats.org/officeDocument/2006/relationships/image" Target="../media/image3.png"/><Relationship Id="rId5" Type="http://schemas.openxmlformats.org/officeDocument/2006/relationships/hyperlink" Target="#CALCULATIONS!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DATA!A1"/><Relationship Id="rId6" Type="http://schemas.openxmlformats.org/officeDocument/2006/relationships/image" Target="../media/image3.png"/><Relationship Id="rId5" Type="http://schemas.openxmlformats.org/officeDocument/2006/relationships/hyperlink" Target="#CALCULATIONS!A1"/><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DATA!A1"/><Relationship Id="rId6" Type="http://schemas.openxmlformats.org/officeDocument/2006/relationships/image" Target="../media/image3.png"/><Relationship Id="rId5" Type="http://schemas.openxmlformats.org/officeDocument/2006/relationships/hyperlink" Target="#CALCULATIONS!A1"/><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396240</xdr:colOff>
      <xdr:row>1</xdr:row>
      <xdr:rowOff>38100</xdr:rowOff>
    </xdr:from>
    <xdr:to>
      <xdr:col>15</xdr:col>
      <xdr:colOff>377189</xdr:colOff>
      <xdr:row>3</xdr:row>
      <xdr:rowOff>139064</xdr:rowOff>
    </xdr:to>
    <xdr:sp macro="" textlink="">
      <xdr:nvSpPr>
        <xdr:cNvPr id="2" name="Rectangle: Rounded Corners 1">
          <a:extLst>
            <a:ext uri="{FF2B5EF4-FFF2-40B4-BE49-F238E27FC236}">
              <a16:creationId xmlns:a16="http://schemas.microsoft.com/office/drawing/2014/main" id="{60744CBC-669C-4C35-A06E-BE5DFD0FF79B}"/>
            </a:ext>
          </a:extLst>
        </xdr:cNvPr>
        <xdr:cNvSpPr/>
      </xdr:nvSpPr>
      <xdr:spPr>
        <a:xfrm>
          <a:off x="6168390" y="228600"/>
          <a:ext cx="3638549" cy="481964"/>
        </a:xfrm>
        <a:prstGeom prst="roundRect">
          <a:avLst>
            <a:gd name="adj" fmla="val 32773"/>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14</xdr:col>
      <xdr:colOff>577216</xdr:colOff>
      <xdr:row>1</xdr:row>
      <xdr:rowOff>180975</xdr:rowOff>
    </xdr:from>
    <xdr:to>
      <xdr:col>15</xdr:col>
      <xdr:colOff>143866</xdr:colOff>
      <xdr:row>2</xdr:row>
      <xdr:rowOff>174345</xdr:rowOff>
    </xdr:to>
    <xdr:pic>
      <xdr:nvPicPr>
        <xdr:cNvPr id="3" name="Picture 2">
          <a:hlinkClick xmlns:r="http://schemas.openxmlformats.org/officeDocument/2006/relationships" r:id="rId1"/>
          <a:extLst>
            <a:ext uri="{FF2B5EF4-FFF2-40B4-BE49-F238E27FC236}">
              <a16:creationId xmlns:a16="http://schemas.microsoft.com/office/drawing/2014/main" id="{227B6DA9-8AD0-4423-B57D-2903A08A62AF}"/>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9397366" y="371475"/>
          <a:ext cx="176250" cy="183870"/>
        </a:xfrm>
        <a:prstGeom prst="rect">
          <a:avLst/>
        </a:prstGeom>
      </xdr:spPr>
    </xdr:pic>
    <xdr:clientData/>
  </xdr:twoCellAnchor>
  <xdr:twoCellAnchor editAs="oneCell">
    <xdr:from>
      <xdr:col>10</xdr:col>
      <xdr:colOff>60466</xdr:colOff>
      <xdr:row>1</xdr:row>
      <xdr:rowOff>180975</xdr:rowOff>
    </xdr:from>
    <xdr:to>
      <xdr:col>10</xdr:col>
      <xdr:colOff>236716</xdr:colOff>
      <xdr:row>2</xdr:row>
      <xdr:rowOff>174345</xdr:rowOff>
    </xdr:to>
    <xdr:pic>
      <xdr:nvPicPr>
        <xdr:cNvPr id="4" name="Picture 3">
          <a:hlinkClick xmlns:r="http://schemas.openxmlformats.org/officeDocument/2006/relationships" r:id="rId3"/>
          <a:extLst>
            <a:ext uri="{FF2B5EF4-FFF2-40B4-BE49-F238E27FC236}">
              <a16:creationId xmlns:a16="http://schemas.microsoft.com/office/drawing/2014/main" id="{7AD8BA9F-08F0-41EF-8769-5F484B2A3A93}"/>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6442216" y="371475"/>
          <a:ext cx="176250" cy="183870"/>
        </a:xfrm>
        <a:prstGeom prst="rect">
          <a:avLst/>
        </a:prstGeom>
      </xdr:spPr>
    </xdr:pic>
    <xdr:clientData/>
  </xdr:twoCellAnchor>
  <xdr:twoCellAnchor editAs="oneCell">
    <xdr:from>
      <xdr:col>12</xdr:col>
      <xdr:colOff>318841</xdr:colOff>
      <xdr:row>1</xdr:row>
      <xdr:rowOff>180975</xdr:rowOff>
    </xdr:from>
    <xdr:to>
      <xdr:col>12</xdr:col>
      <xdr:colOff>495091</xdr:colOff>
      <xdr:row>2</xdr:row>
      <xdr:rowOff>174345</xdr:rowOff>
    </xdr:to>
    <xdr:pic>
      <xdr:nvPicPr>
        <xdr:cNvPr id="5" name="Picture 4">
          <a:hlinkClick xmlns:r="http://schemas.openxmlformats.org/officeDocument/2006/relationships" r:id="rId5"/>
          <a:extLst>
            <a:ext uri="{FF2B5EF4-FFF2-40B4-BE49-F238E27FC236}">
              <a16:creationId xmlns:a16="http://schemas.microsoft.com/office/drawing/2014/main" id="{33BCB8DF-EF46-41F2-B126-15CBD611EB2B}"/>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7919791" y="371475"/>
          <a:ext cx="176250" cy="183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569912</xdr:colOff>
      <xdr:row>1</xdr:row>
      <xdr:rowOff>44450</xdr:rowOff>
    </xdr:from>
    <xdr:to>
      <xdr:col>18</xdr:col>
      <xdr:colOff>430212</xdr:colOff>
      <xdr:row>65</xdr:row>
      <xdr:rowOff>76200</xdr:rowOff>
    </xdr:to>
    <xdr:sp macro="" textlink="">
      <xdr:nvSpPr>
        <xdr:cNvPr id="2" name="Rectangle: Rounded Corners 1">
          <a:extLst>
            <a:ext uri="{FF2B5EF4-FFF2-40B4-BE49-F238E27FC236}">
              <a16:creationId xmlns:a16="http://schemas.microsoft.com/office/drawing/2014/main" id="{0D6F57E1-40C6-4F0F-0E78-9E89DD532D12}"/>
            </a:ext>
          </a:extLst>
        </xdr:cNvPr>
        <xdr:cNvSpPr/>
      </xdr:nvSpPr>
      <xdr:spPr>
        <a:xfrm>
          <a:off x="569912" y="227013"/>
          <a:ext cx="10861675" cy="11715750"/>
        </a:xfrm>
        <a:prstGeom prst="roundRect">
          <a:avLst>
            <a:gd name="adj" fmla="val 2912"/>
          </a:avLst>
        </a:prstGeom>
        <a:solidFill>
          <a:srgbClr val="000D0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390338</xdr:colOff>
      <xdr:row>5</xdr:row>
      <xdr:rowOff>107950</xdr:rowOff>
    </xdr:from>
    <xdr:to>
      <xdr:col>5</xdr:col>
      <xdr:colOff>50800</xdr:colOff>
      <xdr:row>11</xdr:row>
      <xdr:rowOff>165100</xdr:rowOff>
    </xdr:to>
    <xdr:sp macro="" textlink="">
      <xdr:nvSpPr>
        <xdr:cNvPr id="3" name="Rectangle: Rounded Corners 2">
          <a:extLst>
            <a:ext uri="{FF2B5EF4-FFF2-40B4-BE49-F238E27FC236}">
              <a16:creationId xmlns:a16="http://schemas.microsoft.com/office/drawing/2014/main" id="{5E0AEF94-7C5A-3F98-44E7-58571C326112}"/>
            </a:ext>
          </a:extLst>
        </xdr:cNvPr>
        <xdr:cNvSpPr/>
      </xdr:nvSpPr>
      <xdr:spPr>
        <a:xfrm>
          <a:off x="1002926" y="1041774"/>
          <a:ext cx="2110815" cy="1177738"/>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438150</xdr:colOff>
      <xdr:row>5</xdr:row>
      <xdr:rowOff>95250</xdr:rowOff>
    </xdr:from>
    <xdr:to>
      <xdr:col>9</xdr:col>
      <xdr:colOff>101600</xdr:colOff>
      <xdr:row>11</xdr:row>
      <xdr:rowOff>152400</xdr:rowOff>
    </xdr:to>
    <xdr:sp macro="" textlink="">
      <xdr:nvSpPr>
        <xdr:cNvPr id="5" name="Rectangle: Rounded Corners 4">
          <a:extLst>
            <a:ext uri="{FF2B5EF4-FFF2-40B4-BE49-F238E27FC236}">
              <a16:creationId xmlns:a16="http://schemas.microsoft.com/office/drawing/2014/main" id="{5B240957-F3FD-403E-83C4-BE8F9D0D70C8}"/>
            </a:ext>
          </a:extLst>
        </xdr:cNvPr>
        <xdr:cNvSpPr/>
      </xdr:nvSpPr>
      <xdr:spPr>
        <a:xfrm>
          <a:off x="3486150" y="1016000"/>
          <a:ext cx="2101850" cy="1162050"/>
        </a:xfrm>
        <a:prstGeom prst="roundRect">
          <a:avLst>
            <a:gd name="adj" fmla="val 13388"/>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361204</xdr:colOff>
      <xdr:row>14</xdr:row>
      <xdr:rowOff>20918</xdr:rowOff>
    </xdr:from>
    <xdr:to>
      <xdr:col>5</xdr:col>
      <xdr:colOff>24654</xdr:colOff>
      <xdr:row>20</xdr:row>
      <xdr:rowOff>78068</xdr:rowOff>
    </xdr:to>
    <xdr:sp macro="" textlink="">
      <xdr:nvSpPr>
        <xdr:cNvPr id="6" name="Rectangle: Rounded Corners 5">
          <a:extLst>
            <a:ext uri="{FF2B5EF4-FFF2-40B4-BE49-F238E27FC236}">
              <a16:creationId xmlns:a16="http://schemas.microsoft.com/office/drawing/2014/main" id="{F31FB46E-4A3E-4B84-8932-393D971CDE39}"/>
            </a:ext>
          </a:extLst>
        </xdr:cNvPr>
        <xdr:cNvSpPr/>
      </xdr:nvSpPr>
      <xdr:spPr>
        <a:xfrm>
          <a:off x="973792" y="2635624"/>
          <a:ext cx="2113803" cy="1177738"/>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381000</xdr:colOff>
      <xdr:row>14</xdr:row>
      <xdr:rowOff>76200</xdr:rowOff>
    </xdr:from>
    <xdr:to>
      <xdr:col>9</xdr:col>
      <xdr:colOff>44450</xdr:colOff>
      <xdr:row>20</xdr:row>
      <xdr:rowOff>133350</xdr:rowOff>
    </xdr:to>
    <xdr:sp macro="" textlink="">
      <xdr:nvSpPr>
        <xdr:cNvPr id="7" name="Rectangle: Rounded Corners 6">
          <a:extLst>
            <a:ext uri="{FF2B5EF4-FFF2-40B4-BE49-F238E27FC236}">
              <a16:creationId xmlns:a16="http://schemas.microsoft.com/office/drawing/2014/main" id="{E131DF1A-BFFB-4289-A6A1-828C4A435750}"/>
            </a:ext>
          </a:extLst>
        </xdr:cNvPr>
        <xdr:cNvSpPr/>
      </xdr:nvSpPr>
      <xdr:spPr>
        <a:xfrm>
          <a:off x="3429000" y="2654300"/>
          <a:ext cx="2101850" cy="116205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577850</xdr:colOff>
      <xdr:row>6</xdr:row>
      <xdr:rowOff>57150</xdr:rowOff>
    </xdr:from>
    <xdr:to>
      <xdr:col>18</xdr:col>
      <xdr:colOff>120650</xdr:colOff>
      <xdr:row>20</xdr:row>
      <xdr:rowOff>142876</xdr:rowOff>
    </xdr:to>
    <xdr:sp macro="" textlink="">
      <xdr:nvSpPr>
        <xdr:cNvPr id="8" name="Rectangle: Rounded Corners 7">
          <a:extLst>
            <a:ext uri="{FF2B5EF4-FFF2-40B4-BE49-F238E27FC236}">
              <a16:creationId xmlns:a16="http://schemas.microsoft.com/office/drawing/2014/main" id="{0061AE70-D3ED-46EF-8643-35DD4730A905}"/>
            </a:ext>
          </a:extLst>
        </xdr:cNvPr>
        <xdr:cNvSpPr/>
      </xdr:nvSpPr>
      <xdr:spPr>
        <a:xfrm>
          <a:off x="6064250" y="1162050"/>
          <a:ext cx="5029200" cy="2663826"/>
        </a:xfrm>
        <a:prstGeom prst="roundRect">
          <a:avLst>
            <a:gd name="adj" fmla="val 5428"/>
          </a:avLst>
        </a:prstGeom>
        <a:solidFill>
          <a:srgbClr val="001C1F"/>
        </a:solid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190500</xdr:colOff>
      <xdr:row>22</xdr:row>
      <xdr:rowOff>7938</xdr:rowOff>
    </xdr:from>
    <xdr:to>
      <xdr:col>9</xdr:col>
      <xdr:colOff>172131</xdr:colOff>
      <xdr:row>43</xdr:row>
      <xdr:rowOff>15194</xdr:rowOff>
    </xdr:to>
    <xdr:sp macro="" textlink="">
      <xdr:nvSpPr>
        <xdr:cNvPr id="10" name="Rectangle: Rounded Corners 9">
          <a:extLst>
            <a:ext uri="{FF2B5EF4-FFF2-40B4-BE49-F238E27FC236}">
              <a16:creationId xmlns:a16="http://schemas.microsoft.com/office/drawing/2014/main" id="{5EC7B2B2-E519-4299-8DBB-20EF916A36BA}"/>
            </a:ext>
          </a:extLst>
        </xdr:cNvPr>
        <xdr:cNvSpPr/>
      </xdr:nvSpPr>
      <xdr:spPr>
        <a:xfrm>
          <a:off x="801688" y="4024313"/>
          <a:ext cx="4871131" cy="3841069"/>
        </a:xfrm>
        <a:prstGeom prst="roundRect">
          <a:avLst>
            <a:gd name="adj" fmla="val 6390"/>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noFill/>
            <a:effectLst>
              <a:outerShdw blurRad="38100" dist="19050" dir="2700000" algn="tl" rotWithShape="0">
                <a:schemeClr val="dk1">
                  <a:alpha val="40000"/>
                </a:schemeClr>
              </a:outerShdw>
            </a:effectLst>
          </a:endParaRPr>
        </a:p>
      </xdr:txBody>
    </xdr:sp>
    <xdr:clientData/>
  </xdr:twoCellAnchor>
  <xdr:twoCellAnchor>
    <xdr:from>
      <xdr:col>1</xdr:col>
      <xdr:colOff>539750</xdr:colOff>
      <xdr:row>5</xdr:row>
      <xdr:rowOff>82550</xdr:rowOff>
    </xdr:from>
    <xdr:to>
      <xdr:col>4</xdr:col>
      <xdr:colOff>63500</xdr:colOff>
      <xdr:row>7</xdr:row>
      <xdr:rowOff>76200</xdr:rowOff>
    </xdr:to>
    <xdr:sp macro="" textlink="">
      <xdr:nvSpPr>
        <xdr:cNvPr id="11" name="TextBox 10">
          <a:extLst>
            <a:ext uri="{FF2B5EF4-FFF2-40B4-BE49-F238E27FC236}">
              <a16:creationId xmlns:a16="http://schemas.microsoft.com/office/drawing/2014/main" id="{7A8EA886-776B-6872-45D6-DEAD00DA9F1C}"/>
            </a:ext>
          </a:extLst>
        </xdr:cNvPr>
        <xdr:cNvSpPr txBox="1"/>
      </xdr:nvSpPr>
      <xdr:spPr>
        <a:xfrm>
          <a:off x="1149350" y="1003300"/>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BAC8C9"/>
              </a:solidFill>
            </a:rPr>
            <a:t>Sales</a:t>
          </a:r>
        </a:p>
      </xdr:txBody>
    </xdr:sp>
    <xdr:clientData/>
  </xdr:twoCellAnchor>
  <xdr:twoCellAnchor>
    <xdr:from>
      <xdr:col>5</xdr:col>
      <xdr:colOff>519206</xdr:colOff>
      <xdr:row>5</xdr:row>
      <xdr:rowOff>84417</xdr:rowOff>
    </xdr:from>
    <xdr:to>
      <xdr:col>8</xdr:col>
      <xdr:colOff>39968</xdr:colOff>
      <xdr:row>7</xdr:row>
      <xdr:rowOff>78067</xdr:rowOff>
    </xdr:to>
    <xdr:sp macro="" textlink="">
      <xdr:nvSpPr>
        <xdr:cNvPr id="14" name="TextBox 13">
          <a:extLst>
            <a:ext uri="{FF2B5EF4-FFF2-40B4-BE49-F238E27FC236}">
              <a16:creationId xmlns:a16="http://schemas.microsoft.com/office/drawing/2014/main" id="{F7CAA3A3-A327-4DC5-9CCD-E9F4FC7715A5}"/>
            </a:ext>
          </a:extLst>
        </xdr:cNvPr>
        <xdr:cNvSpPr txBox="1"/>
      </xdr:nvSpPr>
      <xdr:spPr>
        <a:xfrm>
          <a:off x="3582147" y="1018241"/>
          <a:ext cx="1358527" cy="36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BAC8C9"/>
              </a:solidFill>
            </a:rPr>
            <a:t>Cost</a:t>
          </a:r>
        </a:p>
      </xdr:txBody>
    </xdr:sp>
    <xdr:clientData/>
  </xdr:twoCellAnchor>
  <xdr:twoCellAnchor>
    <xdr:from>
      <xdr:col>1</xdr:col>
      <xdr:colOff>485775</xdr:colOff>
      <xdr:row>14</xdr:row>
      <xdr:rowOff>69850</xdr:rowOff>
    </xdr:from>
    <xdr:to>
      <xdr:col>4</xdr:col>
      <xdr:colOff>7938</xdr:colOff>
      <xdr:row>16</xdr:row>
      <xdr:rowOff>63500</xdr:rowOff>
    </xdr:to>
    <xdr:sp macro="" textlink="">
      <xdr:nvSpPr>
        <xdr:cNvPr id="15" name="TextBox 14">
          <a:extLst>
            <a:ext uri="{FF2B5EF4-FFF2-40B4-BE49-F238E27FC236}">
              <a16:creationId xmlns:a16="http://schemas.microsoft.com/office/drawing/2014/main" id="{F378ED99-A0E5-445E-87FA-509A26A7E5D9}"/>
            </a:ext>
          </a:extLst>
        </xdr:cNvPr>
        <xdr:cNvSpPr txBox="1"/>
      </xdr:nvSpPr>
      <xdr:spPr>
        <a:xfrm>
          <a:off x="1096963" y="2625725"/>
          <a:ext cx="1355725"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BAC8C9"/>
              </a:solidFill>
            </a:rPr>
            <a:t>Quantity</a:t>
          </a:r>
        </a:p>
      </xdr:txBody>
    </xdr:sp>
    <xdr:clientData/>
  </xdr:twoCellAnchor>
  <xdr:twoCellAnchor>
    <xdr:from>
      <xdr:col>5</xdr:col>
      <xdr:colOff>546100</xdr:colOff>
      <xdr:row>14</xdr:row>
      <xdr:rowOff>44450</xdr:rowOff>
    </xdr:from>
    <xdr:to>
      <xdr:col>8</xdr:col>
      <xdr:colOff>69850</xdr:colOff>
      <xdr:row>16</xdr:row>
      <xdr:rowOff>38100</xdr:rowOff>
    </xdr:to>
    <xdr:sp macro="" textlink="">
      <xdr:nvSpPr>
        <xdr:cNvPr id="17" name="TextBox 16">
          <a:extLst>
            <a:ext uri="{FF2B5EF4-FFF2-40B4-BE49-F238E27FC236}">
              <a16:creationId xmlns:a16="http://schemas.microsoft.com/office/drawing/2014/main" id="{50DBBBF3-3E9D-4694-9C60-3B0BA6644965}"/>
            </a:ext>
          </a:extLst>
        </xdr:cNvPr>
        <xdr:cNvSpPr txBox="1"/>
      </xdr:nvSpPr>
      <xdr:spPr>
        <a:xfrm>
          <a:off x="3594100" y="2622550"/>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BAC8C9"/>
              </a:solidFill>
            </a:rPr>
            <a:t>Profit</a:t>
          </a:r>
        </a:p>
      </xdr:txBody>
    </xdr:sp>
    <xdr:clientData/>
  </xdr:twoCellAnchor>
  <xdr:twoCellAnchor>
    <xdr:from>
      <xdr:col>1</xdr:col>
      <xdr:colOff>545726</xdr:colOff>
      <xdr:row>6</xdr:row>
      <xdr:rowOff>166594</xdr:rowOff>
    </xdr:from>
    <xdr:to>
      <xdr:col>4</xdr:col>
      <xdr:colOff>66488</xdr:colOff>
      <xdr:row>8</xdr:row>
      <xdr:rowOff>160243</xdr:rowOff>
    </xdr:to>
    <xdr:sp macro="" textlink="sales">
      <xdr:nvSpPr>
        <xdr:cNvPr id="18" name="TextBox 17">
          <a:extLst>
            <a:ext uri="{FF2B5EF4-FFF2-40B4-BE49-F238E27FC236}">
              <a16:creationId xmlns:a16="http://schemas.microsoft.com/office/drawing/2014/main" id="{653DB455-067F-4505-9809-1780DCEA0E93}"/>
            </a:ext>
          </a:extLst>
        </xdr:cNvPr>
        <xdr:cNvSpPr txBox="1"/>
      </xdr:nvSpPr>
      <xdr:spPr>
        <a:xfrm>
          <a:off x="1158314" y="1287182"/>
          <a:ext cx="1358527" cy="367179"/>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D98127-1798-40F4-9CC3-D46A656107C1}" type="TxLink">
            <a:rPr lang="en-US" sz="1100" b="0" i="0" u="none" strike="noStrike">
              <a:solidFill>
                <a:srgbClr val="000000"/>
              </a:solidFill>
              <a:latin typeface="Calibri"/>
              <a:ea typeface="Calibri"/>
              <a:cs typeface="Calibri"/>
            </a:rPr>
            <a:pPr/>
            <a:t>475604.69</a:t>
          </a:fld>
          <a:endParaRPr lang="en-GB" sz="1200" b="1">
            <a:solidFill>
              <a:srgbClr val="BAC8C9"/>
            </a:solidFill>
          </a:endParaRPr>
        </a:p>
      </xdr:txBody>
    </xdr:sp>
    <xdr:clientData/>
  </xdr:twoCellAnchor>
  <xdr:twoCellAnchor>
    <xdr:from>
      <xdr:col>5</xdr:col>
      <xdr:colOff>565150</xdr:colOff>
      <xdr:row>7</xdr:row>
      <xdr:rowOff>26894</xdr:rowOff>
    </xdr:from>
    <xdr:to>
      <xdr:col>8</xdr:col>
      <xdr:colOff>85912</xdr:colOff>
      <xdr:row>9</xdr:row>
      <xdr:rowOff>20544</xdr:rowOff>
    </xdr:to>
    <xdr:sp macro="" textlink="cost">
      <xdr:nvSpPr>
        <xdr:cNvPr id="19" name="TextBox 18">
          <a:extLst>
            <a:ext uri="{FF2B5EF4-FFF2-40B4-BE49-F238E27FC236}">
              <a16:creationId xmlns:a16="http://schemas.microsoft.com/office/drawing/2014/main" id="{7D0AA403-B2AD-42FF-82B2-82D8DB339496}"/>
            </a:ext>
          </a:extLst>
        </xdr:cNvPr>
        <xdr:cNvSpPr txBox="1"/>
      </xdr:nvSpPr>
      <xdr:spPr>
        <a:xfrm>
          <a:off x="3628091" y="1334247"/>
          <a:ext cx="1358527" cy="367179"/>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2A1D90-7986-4DB7-8DA5-06A982AC1329}" type="TxLink">
            <a:rPr lang="en-US" sz="1100" b="0" i="0" u="none" strike="noStrike">
              <a:solidFill>
                <a:srgbClr val="000000"/>
              </a:solidFill>
              <a:latin typeface="Calibri"/>
              <a:ea typeface="Calibri"/>
              <a:cs typeface="Calibri"/>
            </a:rPr>
            <a:pPr/>
            <a:t>63978.15</a:t>
          </a:fld>
          <a:endParaRPr lang="en-US" sz="1200"/>
        </a:p>
      </xdr:txBody>
    </xdr:sp>
    <xdr:clientData/>
  </xdr:twoCellAnchor>
  <xdr:twoCellAnchor>
    <xdr:from>
      <xdr:col>1</xdr:col>
      <xdr:colOff>574675</xdr:colOff>
      <xdr:row>16</xdr:row>
      <xdr:rowOff>25400</xdr:rowOff>
    </xdr:from>
    <xdr:to>
      <xdr:col>4</xdr:col>
      <xdr:colOff>96838</xdr:colOff>
      <xdr:row>18</xdr:row>
      <xdr:rowOff>19050</xdr:rowOff>
    </xdr:to>
    <xdr:sp macro="" textlink="Quantity">
      <xdr:nvSpPr>
        <xdr:cNvPr id="22" name="TextBox 21">
          <a:extLst>
            <a:ext uri="{FF2B5EF4-FFF2-40B4-BE49-F238E27FC236}">
              <a16:creationId xmlns:a16="http://schemas.microsoft.com/office/drawing/2014/main" id="{CA4D9A57-E64F-44E8-80C5-AEC3635B0023}"/>
            </a:ext>
          </a:extLst>
        </xdr:cNvPr>
        <xdr:cNvSpPr txBox="1"/>
      </xdr:nvSpPr>
      <xdr:spPr>
        <a:xfrm>
          <a:off x="1185863" y="2946400"/>
          <a:ext cx="1355725" cy="358775"/>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494A04-B941-41D6-AFE9-BBA2F88719C3}" type="TxLink">
            <a:rPr lang="en-US" sz="1100" b="0" i="0" u="none" strike="noStrike">
              <a:solidFill>
                <a:srgbClr val="000000"/>
              </a:solidFill>
              <a:latin typeface="Calibri"/>
              <a:ea typeface="Calibri"/>
              <a:cs typeface="Calibri"/>
            </a:rPr>
            <a:pPr/>
            <a:t>899</a:t>
          </a:fld>
          <a:endParaRPr lang="en-GB" sz="1200" b="1">
            <a:solidFill>
              <a:srgbClr val="BAC8C9"/>
            </a:solidFill>
          </a:endParaRPr>
        </a:p>
      </xdr:txBody>
    </xdr:sp>
    <xdr:clientData/>
  </xdr:twoCellAnchor>
  <xdr:twoCellAnchor>
    <xdr:from>
      <xdr:col>5</xdr:col>
      <xdr:colOff>552449</xdr:colOff>
      <xdr:row>16</xdr:row>
      <xdr:rowOff>30162</xdr:rowOff>
    </xdr:from>
    <xdr:to>
      <xdr:col>8</xdr:col>
      <xdr:colOff>74612</xdr:colOff>
      <xdr:row>18</xdr:row>
      <xdr:rowOff>23812</xdr:rowOff>
    </xdr:to>
    <xdr:sp macro="" textlink="">
      <xdr:nvSpPr>
        <xdr:cNvPr id="23" name="TextBox 22">
          <a:extLst>
            <a:ext uri="{FF2B5EF4-FFF2-40B4-BE49-F238E27FC236}">
              <a16:creationId xmlns:a16="http://schemas.microsoft.com/office/drawing/2014/main" id="{2D3D3C94-7FAE-44B4-840D-F81C23259210}"/>
            </a:ext>
          </a:extLst>
        </xdr:cNvPr>
        <xdr:cNvSpPr txBox="1"/>
      </xdr:nvSpPr>
      <xdr:spPr>
        <a:xfrm>
          <a:off x="3608387" y="2951162"/>
          <a:ext cx="1355725" cy="358775"/>
        </a:xfrm>
        <a:prstGeom prst="rect">
          <a:avLst/>
        </a:prstGeom>
        <a:solidFill>
          <a:srgbClr val="BAC8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£411,626.54</a:t>
          </a:r>
        </a:p>
      </xdr:txBody>
    </xdr:sp>
    <xdr:clientData/>
  </xdr:twoCellAnchor>
  <xdr:twoCellAnchor>
    <xdr:from>
      <xdr:col>1</xdr:col>
      <xdr:colOff>456453</xdr:colOff>
      <xdr:row>10</xdr:row>
      <xdr:rowOff>24652</xdr:rowOff>
    </xdr:from>
    <xdr:to>
      <xdr:col>4</xdr:col>
      <xdr:colOff>170703</xdr:colOff>
      <xdr:row>12</xdr:row>
      <xdr:rowOff>18303</xdr:rowOff>
    </xdr:to>
    <xdr:sp macro="" textlink="yoysales">
      <xdr:nvSpPr>
        <xdr:cNvPr id="26" name="TextBox 25">
          <a:extLst>
            <a:ext uri="{FF2B5EF4-FFF2-40B4-BE49-F238E27FC236}">
              <a16:creationId xmlns:a16="http://schemas.microsoft.com/office/drawing/2014/main" id="{A07F91DB-9EC4-4CAC-8502-27F9CBF99478}"/>
            </a:ext>
          </a:extLst>
        </xdr:cNvPr>
        <xdr:cNvSpPr txBox="1"/>
      </xdr:nvSpPr>
      <xdr:spPr>
        <a:xfrm>
          <a:off x="1069041" y="1892299"/>
          <a:ext cx="1552015" cy="36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0" u="none" strike="noStrike">
              <a:solidFill>
                <a:srgbClr val="BAC8C9"/>
              </a:solidFill>
              <a:latin typeface="Calibri"/>
              <a:ea typeface="Calibri"/>
              <a:cs typeface="Calibri"/>
            </a:rPr>
            <a:t>⬆️</a:t>
          </a:r>
          <a:fld id="{E1BCBCB3-87BF-4E9F-8884-3F07522B0DD2}" type="TxLink">
            <a:rPr lang="en-US" sz="1200" b="0" i="0" u="none" strike="noStrike">
              <a:solidFill>
                <a:srgbClr val="BAC8C9"/>
              </a:solidFill>
              <a:latin typeface="Calibri"/>
              <a:ea typeface="Calibri"/>
              <a:cs typeface="Calibri"/>
            </a:rPr>
            <a:pPr/>
            <a:t>30%</a:t>
          </a:fld>
          <a:r>
            <a:rPr lang="en-US" sz="1200" b="0" i="0" u="none" strike="noStrike">
              <a:solidFill>
                <a:srgbClr val="BAC8C9"/>
              </a:solidFill>
              <a:latin typeface="Calibri"/>
              <a:ea typeface="Calibri"/>
              <a:cs typeface="Calibri"/>
            </a:rPr>
            <a:t> Vs Last Year</a:t>
          </a:r>
          <a:endParaRPr lang="en-GB" sz="1200" b="1">
            <a:solidFill>
              <a:srgbClr val="BAC8C9"/>
            </a:solidFill>
          </a:endParaRPr>
        </a:p>
      </xdr:txBody>
    </xdr:sp>
    <xdr:clientData/>
  </xdr:twoCellAnchor>
  <xdr:twoCellAnchor>
    <xdr:from>
      <xdr:col>5</xdr:col>
      <xdr:colOff>477744</xdr:colOff>
      <xdr:row>9</xdr:row>
      <xdr:rowOff>134097</xdr:rowOff>
    </xdr:from>
    <xdr:to>
      <xdr:col>8</xdr:col>
      <xdr:colOff>87406</xdr:colOff>
      <xdr:row>11</xdr:row>
      <xdr:rowOff>127747</xdr:rowOff>
    </xdr:to>
    <xdr:sp macro="" textlink="yoycost">
      <xdr:nvSpPr>
        <xdr:cNvPr id="27" name="TextBox 26">
          <a:extLst>
            <a:ext uri="{FF2B5EF4-FFF2-40B4-BE49-F238E27FC236}">
              <a16:creationId xmlns:a16="http://schemas.microsoft.com/office/drawing/2014/main" id="{411B15C5-835C-446A-9CE9-D2E3FCF0A2CC}"/>
            </a:ext>
          </a:extLst>
        </xdr:cNvPr>
        <xdr:cNvSpPr txBox="1"/>
      </xdr:nvSpPr>
      <xdr:spPr>
        <a:xfrm>
          <a:off x="3540685" y="1814979"/>
          <a:ext cx="1447427" cy="36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0" u="none" strike="noStrike">
              <a:solidFill>
                <a:srgbClr val="BAC8C9"/>
              </a:solidFill>
              <a:latin typeface="Calibri"/>
              <a:ea typeface="Calibri"/>
              <a:cs typeface="Calibri"/>
            </a:rPr>
            <a:t>⬆️</a:t>
          </a:r>
          <a:fld id="{C9B3E367-99F8-4C53-B1A6-04C2793897A2}" type="TxLink">
            <a:rPr lang="en-US" sz="1200" b="0" i="0" u="none" strike="noStrike">
              <a:solidFill>
                <a:srgbClr val="BAC8C9"/>
              </a:solidFill>
              <a:latin typeface="Calibri"/>
              <a:ea typeface="Calibri"/>
              <a:cs typeface="Calibri"/>
            </a:rPr>
            <a:pPr/>
            <a:t>11%</a:t>
          </a:fld>
          <a:r>
            <a:rPr lang="en-US" sz="1200" b="0" i="0" u="none" strike="noStrike">
              <a:solidFill>
                <a:srgbClr val="BAC8C9"/>
              </a:solidFill>
              <a:latin typeface="Calibri"/>
              <a:ea typeface="Calibri"/>
              <a:cs typeface="Calibri"/>
            </a:rPr>
            <a:t> Vs Last Year</a:t>
          </a:r>
          <a:r>
            <a:rPr lang="en-US" sz="1200" b="0" i="0" u="none" strike="noStrike" baseline="0">
              <a:solidFill>
                <a:srgbClr val="BAC8C9"/>
              </a:solidFill>
              <a:latin typeface="Calibri"/>
              <a:ea typeface="Calibri"/>
              <a:cs typeface="Calibri"/>
            </a:rPr>
            <a:t> </a:t>
          </a:r>
          <a:endParaRPr lang="en-GB" sz="1200" b="1">
            <a:solidFill>
              <a:srgbClr val="BAC8C9"/>
            </a:solidFill>
          </a:endParaRPr>
        </a:p>
      </xdr:txBody>
    </xdr:sp>
    <xdr:clientData/>
  </xdr:twoCellAnchor>
  <xdr:twoCellAnchor>
    <xdr:from>
      <xdr:col>1</xdr:col>
      <xdr:colOff>442913</xdr:colOff>
      <xdr:row>18</xdr:row>
      <xdr:rowOff>115887</xdr:rowOff>
    </xdr:from>
    <xdr:to>
      <xdr:col>3</xdr:col>
      <xdr:colOff>576263</xdr:colOff>
      <xdr:row>20</xdr:row>
      <xdr:rowOff>109537</xdr:rowOff>
    </xdr:to>
    <xdr:sp macro="" textlink="yoyquantity">
      <xdr:nvSpPr>
        <xdr:cNvPr id="28" name="TextBox 27">
          <a:extLst>
            <a:ext uri="{FF2B5EF4-FFF2-40B4-BE49-F238E27FC236}">
              <a16:creationId xmlns:a16="http://schemas.microsoft.com/office/drawing/2014/main" id="{25EA2AE2-052A-48E2-AA14-9FF79B36E6EE}"/>
            </a:ext>
          </a:extLst>
        </xdr:cNvPr>
        <xdr:cNvSpPr txBox="1"/>
      </xdr:nvSpPr>
      <xdr:spPr>
        <a:xfrm>
          <a:off x="1054101" y="3402012"/>
          <a:ext cx="1355725" cy="3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rgbClr val="BAC8C9"/>
              </a:solidFill>
              <a:latin typeface="Calibri"/>
              <a:ea typeface="Calibri"/>
              <a:cs typeface="Calibri"/>
            </a:rPr>
            <a:t>⬆️</a:t>
          </a:r>
          <a:fld id="{D1F8ACF6-FA4D-43D8-A237-56197A5DEA78}" type="TxLink">
            <a:rPr lang="en-US" sz="1100" b="0" i="0" u="none" strike="noStrike">
              <a:solidFill>
                <a:srgbClr val="BAC8C9"/>
              </a:solidFill>
              <a:latin typeface="Calibri"/>
              <a:ea typeface="Calibri"/>
              <a:cs typeface="Calibri"/>
            </a:rPr>
            <a:pPr/>
            <a:t>24%</a:t>
          </a:fld>
          <a:r>
            <a:rPr lang="en-US" sz="1100" b="0" i="0" u="none" strike="noStrike">
              <a:solidFill>
                <a:srgbClr val="BAC8C9"/>
              </a:solidFill>
              <a:latin typeface="Calibri"/>
              <a:ea typeface="Calibri"/>
              <a:cs typeface="Calibri"/>
            </a:rPr>
            <a:t> Vs Last Year</a:t>
          </a:r>
          <a:endParaRPr lang="en-GB" sz="1100" b="1">
            <a:solidFill>
              <a:srgbClr val="BAC8C9"/>
            </a:solidFill>
          </a:endParaRPr>
        </a:p>
      </xdr:txBody>
    </xdr:sp>
    <xdr:clientData/>
  </xdr:twoCellAnchor>
  <xdr:twoCellAnchor>
    <xdr:from>
      <xdr:col>5</xdr:col>
      <xdr:colOff>428625</xdr:colOff>
      <xdr:row>18</xdr:row>
      <xdr:rowOff>101600</xdr:rowOff>
    </xdr:from>
    <xdr:to>
      <xdr:col>8</xdr:col>
      <xdr:colOff>166688</xdr:colOff>
      <xdr:row>20</xdr:row>
      <xdr:rowOff>1588</xdr:rowOff>
    </xdr:to>
    <xdr:sp macro="" textlink="yoyprofit">
      <xdr:nvSpPr>
        <xdr:cNvPr id="29" name="TextBox 28">
          <a:extLst>
            <a:ext uri="{FF2B5EF4-FFF2-40B4-BE49-F238E27FC236}">
              <a16:creationId xmlns:a16="http://schemas.microsoft.com/office/drawing/2014/main" id="{298AE159-4018-412F-9684-59579E9361FA}"/>
            </a:ext>
          </a:extLst>
        </xdr:cNvPr>
        <xdr:cNvSpPr txBox="1"/>
      </xdr:nvSpPr>
      <xdr:spPr>
        <a:xfrm>
          <a:off x="3484563" y="3387725"/>
          <a:ext cx="1571625" cy="265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0" u="none" strike="noStrike">
              <a:solidFill>
                <a:srgbClr val="BAC8C9"/>
              </a:solidFill>
              <a:latin typeface="Calibri"/>
              <a:ea typeface="Calibri"/>
              <a:cs typeface="Calibri"/>
            </a:rPr>
            <a:t>⬆️</a:t>
          </a:r>
          <a:fld id="{5800C494-A3BD-4D29-B667-9C994142F6F9}" type="TxLink">
            <a:rPr lang="en-US" sz="1200" b="0" i="0" u="none" strike="noStrike">
              <a:solidFill>
                <a:srgbClr val="BAC8C9"/>
              </a:solidFill>
              <a:latin typeface="Calibri"/>
              <a:ea typeface="Calibri"/>
              <a:cs typeface="Calibri"/>
            </a:rPr>
            <a:pPr/>
            <a:t>34%</a:t>
          </a:fld>
          <a:r>
            <a:rPr lang="en-US" sz="1200" b="0" i="0" u="none" strike="noStrike">
              <a:solidFill>
                <a:srgbClr val="BAC8C9"/>
              </a:solidFill>
              <a:latin typeface="Calibri"/>
              <a:ea typeface="Calibri"/>
              <a:cs typeface="Calibri"/>
            </a:rPr>
            <a:t> Vs Last Year</a:t>
          </a:r>
          <a:endParaRPr lang="en-GB" sz="1200" b="1">
            <a:solidFill>
              <a:srgbClr val="BAC8C9"/>
            </a:solidFill>
          </a:endParaRPr>
        </a:p>
      </xdr:txBody>
    </xdr:sp>
    <xdr:clientData/>
  </xdr:twoCellAnchor>
  <xdr:twoCellAnchor>
    <xdr:from>
      <xdr:col>10</xdr:col>
      <xdr:colOff>111125</xdr:colOff>
      <xdr:row>22</xdr:row>
      <xdr:rowOff>0</xdr:rowOff>
    </xdr:from>
    <xdr:to>
      <xdr:col>18</xdr:col>
      <xdr:colOff>181656</xdr:colOff>
      <xdr:row>42</xdr:row>
      <xdr:rowOff>50120</xdr:rowOff>
    </xdr:to>
    <xdr:sp macro="" textlink="">
      <xdr:nvSpPr>
        <xdr:cNvPr id="12" name="Rectangle: Rounded Corners 11">
          <a:extLst>
            <a:ext uri="{FF2B5EF4-FFF2-40B4-BE49-F238E27FC236}">
              <a16:creationId xmlns:a16="http://schemas.microsoft.com/office/drawing/2014/main" id="{AA35E0E8-B595-44EF-BC84-8AF4EC724524}"/>
            </a:ext>
          </a:extLst>
        </xdr:cNvPr>
        <xdr:cNvSpPr/>
      </xdr:nvSpPr>
      <xdr:spPr>
        <a:xfrm>
          <a:off x="6223000" y="4016375"/>
          <a:ext cx="4960031" cy="3701370"/>
        </a:xfrm>
        <a:prstGeom prst="roundRect">
          <a:avLst>
            <a:gd name="adj" fmla="val 6390"/>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592138</xdr:colOff>
      <xdr:row>8</xdr:row>
      <xdr:rowOff>76200</xdr:rowOff>
    </xdr:from>
    <xdr:to>
      <xdr:col>18</xdr:col>
      <xdr:colOff>69850</xdr:colOff>
      <xdr:row>20</xdr:row>
      <xdr:rowOff>117928</xdr:rowOff>
    </xdr:to>
    <xdr:graphicFrame macro="">
      <xdr:nvGraphicFramePr>
        <xdr:cNvPr id="20" name="Chart 19">
          <a:extLst>
            <a:ext uri="{FF2B5EF4-FFF2-40B4-BE49-F238E27FC236}">
              <a16:creationId xmlns:a16="http://schemas.microsoft.com/office/drawing/2014/main" id="{5126A6EC-DD15-4AE6-B7CE-CCDF0F44F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241300</xdr:colOff>
      <xdr:row>6</xdr:row>
      <xdr:rowOff>80963</xdr:rowOff>
    </xdr:from>
    <xdr:to>
      <xdr:col>15</xdr:col>
      <xdr:colOff>50800</xdr:colOff>
      <xdr:row>8</xdr:row>
      <xdr:rowOff>74613</xdr:rowOff>
    </xdr:to>
    <xdr:sp macro="" textlink="">
      <xdr:nvSpPr>
        <xdr:cNvPr id="33" name="TextBox 32">
          <a:extLst>
            <a:ext uri="{FF2B5EF4-FFF2-40B4-BE49-F238E27FC236}">
              <a16:creationId xmlns:a16="http://schemas.microsoft.com/office/drawing/2014/main" id="{D08067E4-80B1-4653-AAE7-BE3F78E09F1C}"/>
            </a:ext>
          </a:extLst>
        </xdr:cNvPr>
        <xdr:cNvSpPr txBox="1"/>
      </xdr:nvSpPr>
      <xdr:spPr>
        <a:xfrm>
          <a:off x="6337300" y="1185863"/>
          <a:ext cx="2857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BAC8C9"/>
              </a:solidFill>
            </a:rPr>
            <a:t>Monthly</a:t>
          </a:r>
          <a:r>
            <a:rPr lang="en-GB" sz="1200" b="1" baseline="0">
              <a:solidFill>
                <a:srgbClr val="BAC8C9"/>
              </a:solidFill>
            </a:rPr>
            <a:t> Revenue Trend 2023 Vs 2024</a:t>
          </a:r>
          <a:endParaRPr lang="en-GB" sz="1200" b="1">
            <a:solidFill>
              <a:srgbClr val="BAC8C9"/>
            </a:solidFill>
          </a:endParaRPr>
        </a:p>
      </xdr:txBody>
    </xdr:sp>
    <xdr:clientData/>
  </xdr:twoCellAnchor>
  <xdr:twoCellAnchor>
    <xdr:from>
      <xdr:col>1</xdr:col>
      <xdr:colOff>279400</xdr:colOff>
      <xdr:row>22</xdr:row>
      <xdr:rowOff>20637</xdr:rowOff>
    </xdr:from>
    <xdr:to>
      <xdr:col>9</xdr:col>
      <xdr:colOff>211667</xdr:colOff>
      <xdr:row>42</xdr:row>
      <xdr:rowOff>63499</xdr:rowOff>
    </xdr:to>
    <xdr:graphicFrame macro="">
      <xdr:nvGraphicFramePr>
        <xdr:cNvPr id="35" name="Chart 34">
          <a:extLst>
            <a:ext uri="{FF2B5EF4-FFF2-40B4-BE49-F238E27FC236}">
              <a16:creationId xmlns:a16="http://schemas.microsoft.com/office/drawing/2014/main" id="{FF1806B5-1B52-4A0B-AEB4-157F8A1E9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230189</xdr:colOff>
      <xdr:row>24</xdr:row>
      <xdr:rowOff>79375</xdr:rowOff>
    </xdr:from>
    <xdr:to>
      <xdr:col>18</xdr:col>
      <xdr:colOff>158751</xdr:colOff>
      <xdr:row>42</xdr:row>
      <xdr:rowOff>31750</xdr:rowOff>
    </xdr:to>
    <xdr:graphicFrame macro="">
      <xdr:nvGraphicFramePr>
        <xdr:cNvPr id="9" name="Chart 8">
          <a:extLst>
            <a:ext uri="{FF2B5EF4-FFF2-40B4-BE49-F238E27FC236}">
              <a16:creationId xmlns:a16="http://schemas.microsoft.com/office/drawing/2014/main" id="{E786F377-D45A-4723-904D-486936655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350838</xdr:colOff>
      <xdr:row>22</xdr:row>
      <xdr:rowOff>87313</xdr:rowOff>
    </xdr:from>
    <xdr:to>
      <xdr:col>14</xdr:col>
      <xdr:colOff>230188</xdr:colOff>
      <xdr:row>23</xdr:row>
      <xdr:rowOff>142875</xdr:rowOff>
    </xdr:to>
    <xdr:sp macro="" textlink="yoyprofit">
      <xdr:nvSpPr>
        <xdr:cNvPr id="13" name="TextBox 12">
          <a:extLst>
            <a:ext uri="{FF2B5EF4-FFF2-40B4-BE49-F238E27FC236}">
              <a16:creationId xmlns:a16="http://schemas.microsoft.com/office/drawing/2014/main" id="{D4601D6D-6D39-4264-800C-7DC7511D7A7E}"/>
            </a:ext>
          </a:extLst>
        </xdr:cNvPr>
        <xdr:cNvSpPr txBox="1"/>
      </xdr:nvSpPr>
      <xdr:spPr>
        <a:xfrm>
          <a:off x="6462713" y="4103688"/>
          <a:ext cx="23241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BAC8C9"/>
              </a:solidFill>
            </a:rPr>
            <a:t>Product</a:t>
          </a:r>
          <a:r>
            <a:rPr lang="en-GB" sz="1200" b="1" baseline="0">
              <a:solidFill>
                <a:srgbClr val="BAC8C9"/>
              </a:solidFill>
            </a:rPr>
            <a:t> -wise Sales Breakdown</a:t>
          </a:r>
          <a:endParaRPr lang="en-GB" sz="1200" b="1">
            <a:solidFill>
              <a:srgbClr val="BAC8C9"/>
            </a:solidFill>
          </a:endParaRPr>
        </a:p>
      </xdr:txBody>
    </xdr:sp>
    <xdr:clientData/>
  </xdr:twoCellAnchor>
  <xdr:twoCellAnchor>
    <xdr:from>
      <xdr:col>1</xdr:col>
      <xdr:colOff>476251</xdr:colOff>
      <xdr:row>23</xdr:row>
      <xdr:rowOff>23812</xdr:rowOff>
    </xdr:from>
    <xdr:to>
      <xdr:col>4</xdr:col>
      <xdr:colOff>500063</xdr:colOff>
      <xdr:row>25</xdr:row>
      <xdr:rowOff>15876</xdr:rowOff>
    </xdr:to>
    <xdr:sp macro="" textlink="yoyquantity">
      <xdr:nvSpPr>
        <xdr:cNvPr id="16" name="TextBox 15">
          <a:extLst>
            <a:ext uri="{FF2B5EF4-FFF2-40B4-BE49-F238E27FC236}">
              <a16:creationId xmlns:a16="http://schemas.microsoft.com/office/drawing/2014/main" id="{50A3A83F-8E89-45B9-9138-9DCEFFFD720A}"/>
            </a:ext>
          </a:extLst>
        </xdr:cNvPr>
        <xdr:cNvSpPr txBox="1"/>
      </xdr:nvSpPr>
      <xdr:spPr>
        <a:xfrm>
          <a:off x="1087439" y="4222750"/>
          <a:ext cx="1857374" cy="35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rgbClr val="BAC8C9"/>
              </a:solidFill>
            </a:rPr>
            <a:t>Reginonal</a:t>
          </a:r>
          <a:r>
            <a:rPr lang="en-GB" sz="1100" b="1" baseline="0">
              <a:solidFill>
                <a:srgbClr val="BAC8C9"/>
              </a:solidFill>
            </a:rPr>
            <a:t> Sales Distribution</a:t>
          </a:r>
          <a:endParaRPr lang="en-GB" sz="1100" b="1">
            <a:solidFill>
              <a:srgbClr val="BAC8C9"/>
            </a:solidFill>
          </a:endParaRPr>
        </a:p>
      </xdr:txBody>
    </xdr:sp>
    <xdr:clientData/>
  </xdr:twoCellAnchor>
  <xdr:twoCellAnchor>
    <xdr:from>
      <xdr:col>1</xdr:col>
      <xdr:colOff>267446</xdr:colOff>
      <xdr:row>2</xdr:row>
      <xdr:rowOff>72091</xdr:rowOff>
    </xdr:from>
    <xdr:to>
      <xdr:col>7</xdr:col>
      <xdr:colOff>107950</xdr:colOff>
      <xdr:row>4</xdr:row>
      <xdr:rowOff>65741</xdr:rowOff>
    </xdr:to>
    <xdr:sp macro="" textlink="yoyquantity">
      <xdr:nvSpPr>
        <xdr:cNvPr id="21" name="TextBox 20">
          <a:extLst>
            <a:ext uri="{FF2B5EF4-FFF2-40B4-BE49-F238E27FC236}">
              <a16:creationId xmlns:a16="http://schemas.microsoft.com/office/drawing/2014/main" id="{E789AC9A-1687-428F-BDC8-3B7DC2612858}"/>
            </a:ext>
          </a:extLst>
        </xdr:cNvPr>
        <xdr:cNvSpPr txBox="1"/>
      </xdr:nvSpPr>
      <xdr:spPr>
        <a:xfrm>
          <a:off x="877046" y="440391"/>
          <a:ext cx="349810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BAC8C9"/>
              </a:solidFill>
            </a:rPr>
            <a:t>Sales</a:t>
          </a:r>
          <a:r>
            <a:rPr lang="en-GB" sz="1800" b="1" baseline="0">
              <a:solidFill>
                <a:srgbClr val="BAC8C9"/>
              </a:solidFill>
            </a:rPr>
            <a:t> Performance 2023 Vs 2024</a:t>
          </a:r>
          <a:endParaRPr lang="en-GB" sz="1800" b="1">
            <a:solidFill>
              <a:srgbClr val="BAC8C9"/>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311150</xdr:colOff>
      <xdr:row>1</xdr:row>
      <xdr:rowOff>50800</xdr:rowOff>
    </xdr:from>
    <xdr:to>
      <xdr:col>17</xdr:col>
      <xdr:colOff>59689</xdr:colOff>
      <xdr:row>3</xdr:row>
      <xdr:rowOff>151764</xdr:rowOff>
    </xdr:to>
    <xdr:sp macro="" textlink="">
      <xdr:nvSpPr>
        <xdr:cNvPr id="2" name="Rectangle: Rounded Corners 1">
          <a:extLst>
            <a:ext uri="{FF2B5EF4-FFF2-40B4-BE49-F238E27FC236}">
              <a16:creationId xmlns:a16="http://schemas.microsoft.com/office/drawing/2014/main" id="{4368F826-1810-4745-B355-27E7E0749E53}"/>
            </a:ext>
          </a:extLst>
        </xdr:cNvPr>
        <xdr:cNvSpPr/>
      </xdr:nvSpPr>
      <xdr:spPr>
        <a:xfrm>
          <a:off x="8204200" y="234950"/>
          <a:ext cx="3406139" cy="469264"/>
        </a:xfrm>
        <a:prstGeom prst="roundRect">
          <a:avLst>
            <a:gd name="adj" fmla="val 32773"/>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15</xdr:col>
      <xdr:colOff>577216</xdr:colOff>
      <xdr:row>1</xdr:row>
      <xdr:rowOff>180975</xdr:rowOff>
    </xdr:from>
    <xdr:to>
      <xdr:col>16</xdr:col>
      <xdr:colOff>143866</xdr:colOff>
      <xdr:row>2</xdr:row>
      <xdr:rowOff>174345</xdr:rowOff>
    </xdr:to>
    <xdr:pic>
      <xdr:nvPicPr>
        <xdr:cNvPr id="3" name="Picture 2">
          <a:hlinkClick xmlns:r="http://schemas.openxmlformats.org/officeDocument/2006/relationships" r:id="rId1"/>
          <a:extLst>
            <a:ext uri="{FF2B5EF4-FFF2-40B4-BE49-F238E27FC236}">
              <a16:creationId xmlns:a16="http://schemas.microsoft.com/office/drawing/2014/main" id="{1641D8D2-DE45-4981-9828-9510513FF01A}"/>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9981566" y="365125"/>
          <a:ext cx="176250" cy="177520"/>
        </a:xfrm>
        <a:prstGeom prst="rect">
          <a:avLst/>
        </a:prstGeom>
      </xdr:spPr>
    </xdr:pic>
    <xdr:clientData/>
  </xdr:twoCellAnchor>
  <xdr:twoCellAnchor editAs="oneCell">
    <xdr:from>
      <xdr:col>11</xdr:col>
      <xdr:colOff>60466</xdr:colOff>
      <xdr:row>1</xdr:row>
      <xdr:rowOff>180975</xdr:rowOff>
    </xdr:from>
    <xdr:to>
      <xdr:col>11</xdr:col>
      <xdr:colOff>236716</xdr:colOff>
      <xdr:row>2</xdr:row>
      <xdr:rowOff>174345</xdr:rowOff>
    </xdr:to>
    <xdr:pic>
      <xdr:nvPicPr>
        <xdr:cNvPr id="4" name="Picture 3">
          <a:hlinkClick xmlns:r="http://schemas.openxmlformats.org/officeDocument/2006/relationships" r:id="rId3"/>
          <a:extLst>
            <a:ext uri="{FF2B5EF4-FFF2-40B4-BE49-F238E27FC236}">
              <a16:creationId xmlns:a16="http://schemas.microsoft.com/office/drawing/2014/main" id="{23FFF7CA-7F9F-43B7-83BF-76664CE5C82A}"/>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7026416" y="365125"/>
          <a:ext cx="176250" cy="177520"/>
        </a:xfrm>
        <a:prstGeom prst="rect">
          <a:avLst/>
        </a:prstGeom>
      </xdr:spPr>
    </xdr:pic>
    <xdr:clientData/>
  </xdr:twoCellAnchor>
  <xdr:twoCellAnchor editAs="oneCell">
    <xdr:from>
      <xdr:col>13</xdr:col>
      <xdr:colOff>318841</xdr:colOff>
      <xdr:row>1</xdr:row>
      <xdr:rowOff>180975</xdr:rowOff>
    </xdr:from>
    <xdr:to>
      <xdr:col>13</xdr:col>
      <xdr:colOff>495091</xdr:colOff>
      <xdr:row>2</xdr:row>
      <xdr:rowOff>174345</xdr:rowOff>
    </xdr:to>
    <xdr:pic>
      <xdr:nvPicPr>
        <xdr:cNvPr id="5" name="Picture 4">
          <a:hlinkClick xmlns:r="http://schemas.openxmlformats.org/officeDocument/2006/relationships" r:id="rId5"/>
          <a:extLst>
            <a:ext uri="{FF2B5EF4-FFF2-40B4-BE49-F238E27FC236}">
              <a16:creationId xmlns:a16="http://schemas.microsoft.com/office/drawing/2014/main" id="{8EEE456A-FE04-44A5-92CF-D68CA1205C28}"/>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8503991" y="365125"/>
          <a:ext cx="176250" cy="177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345440</xdr:colOff>
      <xdr:row>3</xdr:row>
      <xdr:rowOff>139700</xdr:rowOff>
    </xdr:from>
    <xdr:to>
      <xdr:col>19</xdr:col>
      <xdr:colOff>237489</xdr:colOff>
      <xdr:row>6</xdr:row>
      <xdr:rowOff>56514</xdr:rowOff>
    </xdr:to>
    <xdr:sp macro="" textlink="">
      <xdr:nvSpPr>
        <xdr:cNvPr id="2" name="Rectangle: Rounded Corners 1">
          <a:extLst>
            <a:ext uri="{FF2B5EF4-FFF2-40B4-BE49-F238E27FC236}">
              <a16:creationId xmlns:a16="http://schemas.microsoft.com/office/drawing/2014/main" id="{F53C4C07-F798-430A-B73D-E137371ED40A}"/>
            </a:ext>
          </a:extLst>
        </xdr:cNvPr>
        <xdr:cNvSpPr/>
      </xdr:nvSpPr>
      <xdr:spPr>
        <a:xfrm>
          <a:off x="9832340" y="692150"/>
          <a:ext cx="4159249" cy="469264"/>
        </a:xfrm>
        <a:prstGeom prst="roundRect">
          <a:avLst>
            <a:gd name="adj" fmla="val 32773"/>
          </a:avLst>
        </a:prstGeom>
        <a:solidFill>
          <a:srgbClr val="001C1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16</xdr:col>
      <xdr:colOff>577216</xdr:colOff>
      <xdr:row>1</xdr:row>
      <xdr:rowOff>180975</xdr:rowOff>
    </xdr:from>
    <xdr:to>
      <xdr:col>17</xdr:col>
      <xdr:colOff>143866</xdr:colOff>
      <xdr:row>2</xdr:row>
      <xdr:rowOff>174345</xdr:rowOff>
    </xdr:to>
    <xdr:pic>
      <xdr:nvPicPr>
        <xdr:cNvPr id="3" name="Picture 2">
          <a:hlinkClick xmlns:r="http://schemas.openxmlformats.org/officeDocument/2006/relationships" r:id="rId1"/>
          <a:extLst>
            <a:ext uri="{FF2B5EF4-FFF2-40B4-BE49-F238E27FC236}">
              <a16:creationId xmlns:a16="http://schemas.microsoft.com/office/drawing/2014/main" id="{9241CCAE-3BD4-454C-96C8-C791E9E24E4E}"/>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9981566" y="365125"/>
          <a:ext cx="176250" cy="177520"/>
        </a:xfrm>
        <a:prstGeom prst="rect">
          <a:avLst/>
        </a:prstGeom>
      </xdr:spPr>
    </xdr:pic>
    <xdr:clientData/>
  </xdr:twoCellAnchor>
  <xdr:twoCellAnchor editAs="oneCell">
    <xdr:from>
      <xdr:col>12</xdr:col>
      <xdr:colOff>60466</xdr:colOff>
      <xdr:row>1</xdr:row>
      <xdr:rowOff>180975</xdr:rowOff>
    </xdr:from>
    <xdr:to>
      <xdr:col>12</xdr:col>
      <xdr:colOff>236716</xdr:colOff>
      <xdr:row>2</xdr:row>
      <xdr:rowOff>174345</xdr:rowOff>
    </xdr:to>
    <xdr:pic>
      <xdr:nvPicPr>
        <xdr:cNvPr id="4" name="Picture 3">
          <a:hlinkClick xmlns:r="http://schemas.openxmlformats.org/officeDocument/2006/relationships" r:id="rId3"/>
          <a:extLst>
            <a:ext uri="{FF2B5EF4-FFF2-40B4-BE49-F238E27FC236}">
              <a16:creationId xmlns:a16="http://schemas.microsoft.com/office/drawing/2014/main" id="{BEC9E1A8-6DF3-4F0F-9B3F-8542E60ABF05}"/>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7026416" y="365125"/>
          <a:ext cx="176250" cy="177520"/>
        </a:xfrm>
        <a:prstGeom prst="rect">
          <a:avLst/>
        </a:prstGeom>
      </xdr:spPr>
    </xdr:pic>
    <xdr:clientData/>
  </xdr:twoCellAnchor>
  <xdr:twoCellAnchor editAs="oneCell">
    <xdr:from>
      <xdr:col>14</xdr:col>
      <xdr:colOff>318841</xdr:colOff>
      <xdr:row>1</xdr:row>
      <xdr:rowOff>180975</xdr:rowOff>
    </xdr:from>
    <xdr:to>
      <xdr:col>14</xdr:col>
      <xdr:colOff>495091</xdr:colOff>
      <xdr:row>2</xdr:row>
      <xdr:rowOff>174345</xdr:rowOff>
    </xdr:to>
    <xdr:pic>
      <xdr:nvPicPr>
        <xdr:cNvPr id="5" name="Picture 4">
          <a:hlinkClick xmlns:r="http://schemas.openxmlformats.org/officeDocument/2006/relationships" r:id="rId5"/>
          <a:extLst>
            <a:ext uri="{FF2B5EF4-FFF2-40B4-BE49-F238E27FC236}">
              <a16:creationId xmlns:a16="http://schemas.microsoft.com/office/drawing/2014/main" id="{BC08656D-E3F3-4408-BF35-1DA84CEBFF7B}"/>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8503991" y="365125"/>
          <a:ext cx="176250" cy="1775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230188</xdr:colOff>
      <xdr:row>0</xdr:row>
      <xdr:rowOff>0</xdr:rowOff>
    </xdr:from>
    <xdr:to>
      <xdr:col>24</xdr:col>
      <xdr:colOff>47626</xdr:colOff>
      <xdr:row>40</xdr:row>
      <xdr:rowOff>142875</xdr:rowOff>
    </xdr:to>
    <xdr:sp macro="" textlink="">
      <xdr:nvSpPr>
        <xdr:cNvPr id="2" name="Rectangle: Rounded Corners 1">
          <a:extLst>
            <a:ext uri="{FF2B5EF4-FFF2-40B4-BE49-F238E27FC236}">
              <a16:creationId xmlns:a16="http://schemas.microsoft.com/office/drawing/2014/main" id="{2EA39EB4-55FE-F239-F054-19B7D141AA4E}"/>
            </a:ext>
          </a:extLst>
        </xdr:cNvPr>
        <xdr:cNvSpPr/>
      </xdr:nvSpPr>
      <xdr:spPr>
        <a:xfrm>
          <a:off x="230188" y="0"/>
          <a:ext cx="14485938" cy="7445375"/>
        </a:xfrm>
        <a:prstGeom prst="roundRect">
          <a:avLst>
            <a:gd name="adj" fmla="val 2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a:p>
      </xdr:txBody>
    </xdr:sp>
    <xdr:clientData/>
  </xdr:twoCellAnchor>
  <xdr:twoCellAnchor>
    <xdr:from>
      <xdr:col>0</xdr:col>
      <xdr:colOff>317500</xdr:colOff>
      <xdr:row>0</xdr:row>
      <xdr:rowOff>87314</xdr:rowOff>
    </xdr:from>
    <xdr:to>
      <xdr:col>3</xdr:col>
      <xdr:colOff>71437</xdr:colOff>
      <xdr:row>5</xdr:row>
      <xdr:rowOff>103187</xdr:rowOff>
    </xdr:to>
    <xdr:sp macro="" textlink="">
      <xdr:nvSpPr>
        <xdr:cNvPr id="4" name="Rectangle: Rounded Corners 3">
          <a:extLst>
            <a:ext uri="{FF2B5EF4-FFF2-40B4-BE49-F238E27FC236}">
              <a16:creationId xmlns:a16="http://schemas.microsoft.com/office/drawing/2014/main" id="{C6FB2910-1776-57FC-CE51-A7FBF3BF156E}"/>
            </a:ext>
          </a:extLst>
        </xdr:cNvPr>
        <xdr:cNvSpPr/>
      </xdr:nvSpPr>
      <xdr:spPr>
        <a:xfrm>
          <a:off x="317500" y="87314"/>
          <a:ext cx="1572346" cy="929888"/>
        </a:xfrm>
        <a:prstGeom prst="roundRect">
          <a:avLst>
            <a:gd name="adj" fmla="val 940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293688</xdr:colOff>
      <xdr:row>6</xdr:row>
      <xdr:rowOff>57147</xdr:rowOff>
    </xdr:from>
    <xdr:to>
      <xdr:col>3</xdr:col>
      <xdr:colOff>73024</xdr:colOff>
      <xdr:row>40</xdr:row>
      <xdr:rowOff>0</xdr:rowOff>
    </xdr:to>
    <xdr:sp macro="" textlink="">
      <xdr:nvSpPr>
        <xdr:cNvPr id="5" name="Rectangle: Rounded Corners 4">
          <a:extLst>
            <a:ext uri="{FF2B5EF4-FFF2-40B4-BE49-F238E27FC236}">
              <a16:creationId xmlns:a16="http://schemas.microsoft.com/office/drawing/2014/main" id="{898CD12D-A327-1515-1C4A-EB5C25B236AA}"/>
            </a:ext>
          </a:extLst>
        </xdr:cNvPr>
        <xdr:cNvSpPr/>
      </xdr:nvSpPr>
      <xdr:spPr>
        <a:xfrm>
          <a:off x="293688" y="1152522"/>
          <a:ext cx="1612899" cy="6149978"/>
        </a:xfrm>
        <a:prstGeom prst="roundRect">
          <a:avLst>
            <a:gd name="adj" fmla="val 6165"/>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230188</xdr:colOff>
      <xdr:row>0</xdr:row>
      <xdr:rowOff>79375</xdr:rowOff>
    </xdr:from>
    <xdr:to>
      <xdr:col>23</xdr:col>
      <xdr:colOff>420688</xdr:colOff>
      <xdr:row>5</xdr:row>
      <xdr:rowOff>119062</xdr:rowOff>
    </xdr:to>
    <xdr:sp macro="" textlink="">
      <xdr:nvSpPr>
        <xdr:cNvPr id="6" name="Rectangle: Rounded Corners 5">
          <a:extLst>
            <a:ext uri="{FF2B5EF4-FFF2-40B4-BE49-F238E27FC236}">
              <a16:creationId xmlns:a16="http://schemas.microsoft.com/office/drawing/2014/main" id="{AB527950-2B44-6A71-F329-BF276CCBF758}"/>
            </a:ext>
          </a:extLst>
        </xdr:cNvPr>
        <xdr:cNvSpPr/>
      </xdr:nvSpPr>
      <xdr:spPr>
        <a:xfrm>
          <a:off x="2048597" y="79375"/>
          <a:ext cx="12313227" cy="953702"/>
        </a:xfrm>
        <a:prstGeom prst="roundRect">
          <a:avLst>
            <a:gd name="adj" fmla="val 657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365126</xdr:colOff>
      <xdr:row>6</xdr:row>
      <xdr:rowOff>53976</xdr:rowOff>
    </xdr:from>
    <xdr:to>
      <xdr:col>18</xdr:col>
      <xdr:colOff>92076</xdr:colOff>
      <xdr:row>10</xdr:row>
      <xdr:rowOff>93663</xdr:rowOff>
    </xdr:to>
    <xdr:sp macro="" textlink="">
      <xdr:nvSpPr>
        <xdr:cNvPr id="10" name="Rectangle: Rounded Corners 9">
          <a:extLst>
            <a:ext uri="{FF2B5EF4-FFF2-40B4-BE49-F238E27FC236}">
              <a16:creationId xmlns:a16="http://schemas.microsoft.com/office/drawing/2014/main" id="{B03E60A4-9032-CB19-6E7D-1ED85DA4D425}"/>
            </a:ext>
          </a:extLst>
        </xdr:cNvPr>
        <xdr:cNvSpPr/>
      </xdr:nvSpPr>
      <xdr:spPr>
        <a:xfrm>
          <a:off x="8921751" y="1149351"/>
          <a:ext cx="2171700" cy="769937"/>
        </a:xfrm>
        <a:prstGeom prst="roundRect">
          <a:avLst>
            <a:gd name="adj" fmla="val 1048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172506</xdr:colOff>
      <xdr:row>12</xdr:row>
      <xdr:rowOff>122236</xdr:rowOff>
    </xdr:from>
    <xdr:to>
      <xdr:col>10</xdr:col>
      <xdr:colOff>407458</xdr:colOff>
      <xdr:row>25</xdr:row>
      <xdr:rowOff>111124</xdr:rowOff>
    </xdr:to>
    <xdr:sp macro="" textlink="">
      <xdr:nvSpPr>
        <xdr:cNvPr id="11" name="Rectangle: Rounded Corners 10">
          <a:extLst>
            <a:ext uri="{FF2B5EF4-FFF2-40B4-BE49-F238E27FC236}">
              <a16:creationId xmlns:a16="http://schemas.microsoft.com/office/drawing/2014/main" id="{01A98E6F-7B88-F41F-D2A0-DA7FC99DCF8A}"/>
            </a:ext>
          </a:extLst>
        </xdr:cNvPr>
        <xdr:cNvSpPr/>
      </xdr:nvSpPr>
      <xdr:spPr>
        <a:xfrm>
          <a:off x="1990915" y="2315872"/>
          <a:ext cx="4477907" cy="2365328"/>
        </a:xfrm>
        <a:prstGeom prst="roundRect">
          <a:avLst>
            <a:gd name="adj" fmla="val 8789"/>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494772</xdr:colOff>
      <xdr:row>12</xdr:row>
      <xdr:rowOff>142874</xdr:rowOff>
    </xdr:from>
    <xdr:to>
      <xdr:col>18</xdr:col>
      <xdr:colOff>142875</xdr:colOff>
      <xdr:row>25</xdr:row>
      <xdr:rowOff>66144</xdr:rowOff>
    </xdr:to>
    <xdr:sp macro="" textlink="">
      <xdr:nvSpPr>
        <xdr:cNvPr id="12" name="Rectangle: Rounded Corners 11">
          <a:extLst>
            <a:ext uri="{FF2B5EF4-FFF2-40B4-BE49-F238E27FC236}">
              <a16:creationId xmlns:a16="http://schemas.microsoft.com/office/drawing/2014/main" id="{295D4318-F96F-204A-E057-1DA1CFDDDD98}"/>
            </a:ext>
          </a:extLst>
        </xdr:cNvPr>
        <xdr:cNvSpPr/>
      </xdr:nvSpPr>
      <xdr:spPr>
        <a:xfrm>
          <a:off x="6556136" y="2336510"/>
          <a:ext cx="4497194" cy="2299710"/>
        </a:xfrm>
        <a:prstGeom prst="roundRect">
          <a:avLst>
            <a:gd name="adj" fmla="val 8417"/>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222250</xdr:colOff>
      <xdr:row>6</xdr:row>
      <xdr:rowOff>23811</xdr:rowOff>
    </xdr:from>
    <xdr:to>
      <xdr:col>23</xdr:col>
      <xdr:colOff>500063</xdr:colOff>
      <xdr:row>25</xdr:row>
      <xdr:rowOff>63499</xdr:rowOff>
    </xdr:to>
    <xdr:sp macro="" textlink="">
      <xdr:nvSpPr>
        <xdr:cNvPr id="13" name="Rectangle: Rounded Corners 12">
          <a:extLst>
            <a:ext uri="{FF2B5EF4-FFF2-40B4-BE49-F238E27FC236}">
              <a16:creationId xmlns:a16="http://schemas.microsoft.com/office/drawing/2014/main" id="{C48A6558-E551-D342-790B-428ADEB4A71F}"/>
            </a:ext>
          </a:extLst>
        </xdr:cNvPr>
        <xdr:cNvSpPr/>
      </xdr:nvSpPr>
      <xdr:spPr>
        <a:xfrm>
          <a:off x="11132705" y="1120629"/>
          <a:ext cx="3308494" cy="3512946"/>
        </a:xfrm>
        <a:prstGeom prst="roundRect">
          <a:avLst>
            <a:gd name="adj" fmla="val 521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501651</xdr:colOff>
      <xdr:row>6</xdr:row>
      <xdr:rowOff>71438</xdr:rowOff>
    </xdr:from>
    <xdr:to>
      <xdr:col>14</xdr:col>
      <xdr:colOff>228601</xdr:colOff>
      <xdr:row>10</xdr:row>
      <xdr:rowOff>111125</xdr:rowOff>
    </xdr:to>
    <xdr:sp macro="" textlink="">
      <xdr:nvSpPr>
        <xdr:cNvPr id="14" name="Rectangle: Rounded Corners 13">
          <a:extLst>
            <a:ext uri="{FF2B5EF4-FFF2-40B4-BE49-F238E27FC236}">
              <a16:creationId xmlns:a16="http://schemas.microsoft.com/office/drawing/2014/main" id="{C6BC6401-C597-03C2-1A5F-7DABB325F1AF}"/>
            </a:ext>
          </a:extLst>
        </xdr:cNvPr>
        <xdr:cNvSpPr/>
      </xdr:nvSpPr>
      <xdr:spPr>
        <a:xfrm>
          <a:off x="6613526" y="1166813"/>
          <a:ext cx="2171700" cy="769937"/>
        </a:xfrm>
        <a:prstGeom prst="roundRect">
          <a:avLst>
            <a:gd name="adj" fmla="val 9278"/>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26988</xdr:colOff>
      <xdr:row>6</xdr:row>
      <xdr:rowOff>65088</xdr:rowOff>
    </xdr:from>
    <xdr:to>
      <xdr:col>10</xdr:col>
      <xdr:colOff>365126</xdr:colOff>
      <xdr:row>10</xdr:row>
      <xdr:rowOff>104775</xdr:rowOff>
    </xdr:to>
    <xdr:sp macro="" textlink="">
      <xdr:nvSpPr>
        <xdr:cNvPr id="15" name="Rectangle: Rounded Corners 14">
          <a:extLst>
            <a:ext uri="{FF2B5EF4-FFF2-40B4-BE49-F238E27FC236}">
              <a16:creationId xmlns:a16="http://schemas.microsoft.com/office/drawing/2014/main" id="{AB3EF963-F142-47D8-ADC2-E0F6AB8D8ABF}"/>
            </a:ext>
          </a:extLst>
        </xdr:cNvPr>
        <xdr:cNvSpPr/>
      </xdr:nvSpPr>
      <xdr:spPr>
        <a:xfrm>
          <a:off x="4305301" y="1160463"/>
          <a:ext cx="2171700" cy="769937"/>
        </a:xfrm>
        <a:prstGeom prst="roundRect">
          <a:avLst>
            <a:gd name="adj" fmla="val 8247"/>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203200</xdr:colOff>
      <xdr:row>6</xdr:row>
      <xdr:rowOff>82550</xdr:rowOff>
    </xdr:from>
    <xdr:to>
      <xdr:col>6</xdr:col>
      <xdr:colOff>541338</xdr:colOff>
      <xdr:row>10</xdr:row>
      <xdr:rowOff>111125</xdr:rowOff>
    </xdr:to>
    <xdr:sp macro="" textlink="">
      <xdr:nvSpPr>
        <xdr:cNvPr id="16" name="Rectangle: Rounded Corners 15">
          <a:extLst>
            <a:ext uri="{FF2B5EF4-FFF2-40B4-BE49-F238E27FC236}">
              <a16:creationId xmlns:a16="http://schemas.microsoft.com/office/drawing/2014/main" id="{60ECFD71-0981-0ECC-F8A2-DF377215C418}"/>
            </a:ext>
          </a:extLst>
        </xdr:cNvPr>
        <xdr:cNvSpPr/>
      </xdr:nvSpPr>
      <xdr:spPr>
        <a:xfrm>
          <a:off x="2036763" y="1177925"/>
          <a:ext cx="2171700" cy="758825"/>
        </a:xfrm>
        <a:prstGeom prst="roundRect">
          <a:avLst>
            <a:gd name="adj" fmla="val 14644"/>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156105</xdr:colOff>
      <xdr:row>26</xdr:row>
      <xdr:rowOff>127000</xdr:rowOff>
    </xdr:from>
    <xdr:to>
      <xdr:col>10</xdr:col>
      <xdr:colOff>10585</xdr:colOff>
      <xdr:row>39</xdr:row>
      <xdr:rowOff>155047</xdr:rowOff>
    </xdr:to>
    <xdr:sp macro="" textlink="">
      <xdr:nvSpPr>
        <xdr:cNvPr id="17" name="Rectangle: Rounded Corners 16">
          <a:extLst>
            <a:ext uri="{FF2B5EF4-FFF2-40B4-BE49-F238E27FC236}">
              <a16:creationId xmlns:a16="http://schemas.microsoft.com/office/drawing/2014/main" id="{F8B27839-C131-81AE-0BC3-0749D99A6463}"/>
            </a:ext>
          </a:extLst>
        </xdr:cNvPr>
        <xdr:cNvSpPr/>
      </xdr:nvSpPr>
      <xdr:spPr>
        <a:xfrm>
          <a:off x="1989668" y="4873625"/>
          <a:ext cx="4132792" cy="2401360"/>
        </a:xfrm>
        <a:prstGeom prst="roundRect">
          <a:avLst>
            <a:gd name="adj" fmla="val 8470"/>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178327</xdr:colOff>
      <xdr:row>26</xdr:row>
      <xdr:rowOff>150814</xdr:rowOff>
    </xdr:from>
    <xdr:to>
      <xdr:col>16</xdr:col>
      <xdr:colOff>545041</xdr:colOff>
      <xdr:row>40</xdr:row>
      <xdr:rowOff>5823</xdr:rowOff>
    </xdr:to>
    <xdr:sp macro="" textlink="">
      <xdr:nvSpPr>
        <xdr:cNvPr id="18" name="Rectangle: Rounded Corners 17">
          <a:extLst>
            <a:ext uri="{FF2B5EF4-FFF2-40B4-BE49-F238E27FC236}">
              <a16:creationId xmlns:a16="http://schemas.microsoft.com/office/drawing/2014/main" id="{9E60A976-4B54-3D33-A53E-F144164C9BB8}"/>
            </a:ext>
          </a:extLst>
        </xdr:cNvPr>
        <xdr:cNvSpPr/>
      </xdr:nvSpPr>
      <xdr:spPr>
        <a:xfrm>
          <a:off x="6290202" y="4897439"/>
          <a:ext cx="4033839" cy="2410884"/>
        </a:xfrm>
        <a:prstGeom prst="roundRect">
          <a:avLst>
            <a:gd name="adj" fmla="val 1132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108480</xdr:colOff>
      <xdr:row>26</xdr:row>
      <xdr:rowOff>142875</xdr:rowOff>
    </xdr:from>
    <xdr:to>
      <xdr:col>23</xdr:col>
      <xdr:colOff>529167</xdr:colOff>
      <xdr:row>39</xdr:row>
      <xdr:rowOff>144993</xdr:rowOff>
    </xdr:to>
    <xdr:sp macro="" textlink="">
      <xdr:nvSpPr>
        <xdr:cNvPr id="19" name="Rectangle: Rounded Corners 18">
          <a:extLst>
            <a:ext uri="{FF2B5EF4-FFF2-40B4-BE49-F238E27FC236}">
              <a16:creationId xmlns:a16="http://schemas.microsoft.com/office/drawing/2014/main" id="{482A2823-BA61-3BD0-F302-7F401998BFD4}"/>
            </a:ext>
          </a:extLst>
        </xdr:cNvPr>
        <xdr:cNvSpPr/>
      </xdr:nvSpPr>
      <xdr:spPr>
        <a:xfrm>
          <a:off x="10412798" y="4895754"/>
          <a:ext cx="4057505" cy="2378557"/>
        </a:xfrm>
        <a:prstGeom prst="roundRect">
          <a:avLst>
            <a:gd name="adj" fmla="val 12034"/>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254000</xdr:colOff>
      <xdr:row>1</xdr:row>
      <xdr:rowOff>15876</xdr:rowOff>
    </xdr:from>
    <xdr:to>
      <xdr:col>17</xdr:col>
      <xdr:colOff>531812</xdr:colOff>
      <xdr:row>4</xdr:row>
      <xdr:rowOff>103189</xdr:rowOff>
    </xdr:to>
    <xdr:sp macro="" textlink="">
      <xdr:nvSpPr>
        <xdr:cNvPr id="20" name="TextBox 19">
          <a:extLst>
            <a:ext uri="{FF2B5EF4-FFF2-40B4-BE49-F238E27FC236}">
              <a16:creationId xmlns:a16="http://schemas.microsoft.com/office/drawing/2014/main" id="{3DB8D24F-C857-AF20-6F39-29F1FEAF25B6}"/>
            </a:ext>
          </a:extLst>
        </xdr:cNvPr>
        <xdr:cNvSpPr txBox="1"/>
      </xdr:nvSpPr>
      <xdr:spPr>
        <a:xfrm>
          <a:off x="2698750" y="198439"/>
          <a:ext cx="822325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solidFill>
                <a:schemeClr val="bg1"/>
              </a:solidFill>
            </a:rPr>
            <a:t>SALES</a:t>
          </a:r>
          <a:r>
            <a:rPr lang="en-GB" sz="3200" baseline="0">
              <a:solidFill>
                <a:schemeClr val="bg1"/>
              </a:solidFill>
            </a:rPr>
            <a:t> PERFORMANCE </a:t>
          </a:r>
          <a:r>
            <a:rPr lang="en-GB" sz="3600" baseline="0">
              <a:solidFill>
                <a:schemeClr val="bg1"/>
              </a:solidFill>
            </a:rPr>
            <a:t>DASHBOARD</a:t>
          </a:r>
          <a:endParaRPr lang="en-GB" sz="3600">
            <a:solidFill>
              <a:schemeClr val="bg1"/>
            </a:solidFill>
          </a:endParaRPr>
        </a:p>
      </xdr:txBody>
    </xdr:sp>
    <xdr:clientData/>
  </xdr:twoCellAnchor>
  <xdr:twoCellAnchor editAs="oneCell">
    <xdr:from>
      <xdr:col>0</xdr:col>
      <xdr:colOff>346364</xdr:colOff>
      <xdr:row>0</xdr:row>
      <xdr:rowOff>139236</xdr:rowOff>
    </xdr:from>
    <xdr:to>
      <xdr:col>3</xdr:col>
      <xdr:colOff>50993</xdr:colOff>
      <xdr:row>5</xdr:row>
      <xdr:rowOff>71437</xdr:rowOff>
    </xdr:to>
    <xdr:pic>
      <xdr:nvPicPr>
        <xdr:cNvPr id="22" name="Picture 21">
          <a:extLst>
            <a:ext uri="{FF2B5EF4-FFF2-40B4-BE49-F238E27FC236}">
              <a16:creationId xmlns:a16="http://schemas.microsoft.com/office/drawing/2014/main" id="{7F034C24-E326-AF4E-76C7-B17C8771E1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4" y="139236"/>
          <a:ext cx="1523038" cy="846216"/>
        </a:xfrm>
        <a:prstGeom prst="rect">
          <a:avLst/>
        </a:prstGeom>
        <a:ln>
          <a:noFill/>
        </a:ln>
      </xdr:spPr>
    </xdr:pic>
    <xdr:clientData/>
  </xdr:twoCellAnchor>
  <xdr:twoCellAnchor editAs="oneCell">
    <xdr:from>
      <xdr:col>21</xdr:col>
      <xdr:colOff>498275</xdr:colOff>
      <xdr:row>0</xdr:row>
      <xdr:rowOff>134939</xdr:rowOff>
    </xdr:from>
    <xdr:to>
      <xdr:col>23</xdr:col>
      <xdr:colOff>394471</xdr:colOff>
      <xdr:row>5</xdr:row>
      <xdr:rowOff>68844</xdr:rowOff>
    </xdr:to>
    <xdr:pic>
      <xdr:nvPicPr>
        <xdr:cNvPr id="24" name="Picture 23">
          <a:extLst>
            <a:ext uri="{FF2B5EF4-FFF2-40B4-BE49-F238E27FC236}">
              <a16:creationId xmlns:a16="http://schemas.microsoft.com/office/drawing/2014/main" id="{B05D3EFE-8B32-F593-9FAE-75134FC112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27139" y="134939"/>
          <a:ext cx="1108468" cy="847920"/>
        </a:xfrm>
        <a:prstGeom prst="rect">
          <a:avLst/>
        </a:prstGeom>
        <a:ln>
          <a:noFill/>
        </a:ln>
      </xdr:spPr>
    </xdr:pic>
    <xdr:clientData/>
  </xdr:twoCellAnchor>
  <xdr:twoCellAnchor>
    <xdr:from>
      <xdr:col>3</xdr:col>
      <xdr:colOff>587375</xdr:colOff>
      <xdr:row>6</xdr:row>
      <xdr:rowOff>134939</xdr:rowOff>
    </xdr:from>
    <xdr:to>
      <xdr:col>6</xdr:col>
      <xdr:colOff>15875</xdr:colOff>
      <xdr:row>8</xdr:row>
      <xdr:rowOff>31750</xdr:rowOff>
    </xdr:to>
    <xdr:sp macro="" textlink="">
      <xdr:nvSpPr>
        <xdr:cNvPr id="25" name="TextBox 24">
          <a:extLst>
            <a:ext uri="{FF2B5EF4-FFF2-40B4-BE49-F238E27FC236}">
              <a16:creationId xmlns:a16="http://schemas.microsoft.com/office/drawing/2014/main" id="{72975ADA-58CF-24C1-D838-1258315D191F}"/>
            </a:ext>
          </a:extLst>
        </xdr:cNvPr>
        <xdr:cNvSpPr txBox="1"/>
      </xdr:nvSpPr>
      <xdr:spPr>
        <a:xfrm>
          <a:off x="2420938" y="1230314"/>
          <a:ext cx="1262062" cy="261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a:solidFill>
                <a:schemeClr val="bg1"/>
              </a:solidFill>
            </a:rPr>
            <a:t>Sales</a:t>
          </a:r>
        </a:p>
      </xdr:txBody>
    </xdr:sp>
    <xdr:clientData/>
  </xdr:twoCellAnchor>
  <xdr:twoCellAnchor>
    <xdr:from>
      <xdr:col>4</xdr:col>
      <xdr:colOff>128588</xdr:colOff>
      <xdr:row>8</xdr:row>
      <xdr:rowOff>95250</xdr:rowOff>
    </xdr:from>
    <xdr:to>
      <xdr:col>6</xdr:col>
      <xdr:colOff>158750</xdr:colOff>
      <xdr:row>10</xdr:row>
      <xdr:rowOff>31751</xdr:rowOff>
    </xdr:to>
    <xdr:sp macro="" textlink="">
      <xdr:nvSpPr>
        <xdr:cNvPr id="26" name="TextBox 25">
          <a:extLst>
            <a:ext uri="{FF2B5EF4-FFF2-40B4-BE49-F238E27FC236}">
              <a16:creationId xmlns:a16="http://schemas.microsoft.com/office/drawing/2014/main" id="{04E5B7F3-D4A0-B9FE-73B8-CFCC976A5DD2}"/>
            </a:ext>
          </a:extLst>
        </xdr:cNvPr>
        <xdr:cNvSpPr txBox="1"/>
      </xdr:nvSpPr>
      <xdr:spPr>
        <a:xfrm>
          <a:off x="2573338" y="1555750"/>
          <a:ext cx="1252537" cy="301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0" i="0" u="none" strike="noStrike">
              <a:solidFill>
                <a:schemeClr val="bg1"/>
              </a:solidFill>
              <a:effectLst/>
              <a:latin typeface="+mn-lt"/>
              <a:ea typeface="+mn-ea"/>
              <a:cs typeface="+mn-cs"/>
            </a:rPr>
            <a:t>£475,605</a:t>
          </a:r>
          <a:r>
            <a:rPr lang="en-GB" sz="1200">
              <a:solidFill>
                <a:schemeClr val="bg1"/>
              </a:solidFill>
              <a:effectLst/>
            </a:rPr>
            <a:t> </a:t>
          </a:r>
          <a:endParaRPr lang="en-GB" sz="1200">
            <a:solidFill>
              <a:schemeClr val="bg1"/>
            </a:solidFill>
          </a:endParaRPr>
        </a:p>
      </xdr:txBody>
    </xdr:sp>
    <xdr:clientData/>
  </xdr:twoCellAnchor>
  <xdr:twoCellAnchor>
    <xdr:from>
      <xdr:col>7</xdr:col>
      <xdr:colOff>388937</xdr:colOff>
      <xdr:row>6</xdr:row>
      <xdr:rowOff>119064</xdr:rowOff>
    </xdr:from>
    <xdr:to>
      <xdr:col>9</xdr:col>
      <xdr:colOff>269875</xdr:colOff>
      <xdr:row>8</xdr:row>
      <xdr:rowOff>39688</xdr:rowOff>
    </xdr:to>
    <xdr:sp macro="" textlink="">
      <xdr:nvSpPr>
        <xdr:cNvPr id="29" name="TextBox 28">
          <a:extLst>
            <a:ext uri="{FF2B5EF4-FFF2-40B4-BE49-F238E27FC236}">
              <a16:creationId xmlns:a16="http://schemas.microsoft.com/office/drawing/2014/main" id="{3528013F-6F88-5CD9-0780-2DB098CFFBDC}"/>
            </a:ext>
          </a:extLst>
        </xdr:cNvPr>
        <xdr:cNvSpPr txBox="1"/>
      </xdr:nvSpPr>
      <xdr:spPr>
        <a:xfrm>
          <a:off x="4667250" y="1214439"/>
          <a:ext cx="1103313"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solidFill>
            </a:rPr>
            <a:t>Quantity</a:t>
          </a:r>
        </a:p>
      </xdr:txBody>
    </xdr:sp>
    <xdr:clientData/>
  </xdr:twoCellAnchor>
  <xdr:twoCellAnchor>
    <xdr:from>
      <xdr:col>11</xdr:col>
      <xdr:colOff>571500</xdr:colOff>
      <xdr:row>6</xdr:row>
      <xdr:rowOff>119063</xdr:rowOff>
    </xdr:from>
    <xdr:to>
      <xdr:col>13</xdr:col>
      <xdr:colOff>142875</xdr:colOff>
      <xdr:row>8</xdr:row>
      <xdr:rowOff>47625</xdr:rowOff>
    </xdr:to>
    <xdr:sp macro="" textlink="">
      <xdr:nvSpPr>
        <xdr:cNvPr id="30" name="TextBox 29">
          <a:extLst>
            <a:ext uri="{FF2B5EF4-FFF2-40B4-BE49-F238E27FC236}">
              <a16:creationId xmlns:a16="http://schemas.microsoft.com/office/drawing/2014/main" id="{4A05EFF9-88A7-6C48-0A04-95CE7D3464A8}"/>
            </a:ext>
          </a:extLst>
        </xdr:cNvPr>
        <xdr:cNvSpPr txBox="1"/>
      </xdr:nvSpPr>
      <xdr:spPr>
        <a:xfrm>
          <a:off x="7294563" y="1214438"/>
          <a:ext cx="793750"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solidFill>
            </a:rPr>
            <a:t>Cost</a:t>
          </a:r>
        </a:p>
      </xdr:txBody>
    </xdr:sp>
    <xdr:clientData/>
  </xdr:twoCellAnchor>
  <xdr:twoCellAnchor>
    <xdr:from>
      <xdr:col>15</xdr:col>
      <xdr:colOff>436563</xdr:colOff>
      <xdr:row>6</xdr:row>
      <xdr:rowOff>111126</xdr:rowOff>
    </xdr:from>
    <xdr:to>
      <xdr:col>16</xdr:col>
      <xdr:colOff>547688</xdr:colOff>
      <xdr:row>8</xdr:row>
      <xdr:rowOff>7939</xdr:rowOff>
    </xdr:to>
    <xdr:sp macro="" textlink="">
      <xdr:nvSpPr>
        <xdr:cNvPr id="31" name="TextBox 30">
          <a:extLst>
            <a:ext uri="{FF2B5EF4-FFF2-40B4-BE49-F238E27FC236}">
              <a16:creationId xmlns:a16="http://schemas.microsoft.com/office/drawing/2014/main" id="{AA934E37-A478-85DB-36D0-2CE25A3D4AFE}"/>
            </a:ext>
          </a:extLst>
        </xdr:cNvPr>
        <xdr:cNvSpPr txBox="1"/>
      </xdr:nvSpPr>
      <xdr:spPr>
        <a:xfrm>
          <a:off x="9604376" y="1206501"/>
          <a:ext cx="722312"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solidFill>
            </a:rPr>
            <a:t>Profit</a:t>
          </a:r>
        </a:p>
      </xdr:txBody>
    </xdr:sp>
    <xdr:clientData/>
  </xdr:twoCellAnchor>
  <xdr:twoCellAnchor>
    <xdr:from>
      <xdr:col>7</xdr:col>
      <xdr:colOff>539750</xdr:colOff>
      <xdr:row>8</xdr:row>
      <xdr:rowOff>134937</xdr:rowOff>
    </xdr:from>
    <xdr:to>
      <xdr:col>8</xdr:col>
      <xdr:colOff>555625</xdr:colOff>
      <xdr:row>10</xdr:row>
      <xdr:rowOff>7937</xdr:rowOff>
    </xdr:to>
    <xdr:sp macro="" textlink="">
      <xdr:nvSpPr>
        <xdr:cNvPr id="32" name="TextBox 31">
          <a:extLst>
            <a:ext uri="{FF2B5EF4-FFF2-40B4-BE49-F238E27FC236}">
              <a16:creationId xmlns:a16="http://schemas.microsoft.com/office/drawing/2014/main" id="{6A1CC192-9BD2-1F0A-FF95-6A461A8D0916}"/>
            </a:ext>
          </a:extLst>
        </xdr:cNvPr>
        <xdr:cNvSpPr txBox="1"/>
      </xdr:nvSpPr>
      <xdr:spPr>
        <a:xfrm>
          <a:off x="4818063" y="1595437"/>
          <a:ext cx="627062"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bg1"/>
              </a:solidFill>
              <a:effectLst/>
              <a:latin typeface="+mn-lt"/>
              <a:ea typeface="+mn-ea"/>
              <a:cs typeface="+mn-cs"/>
            </a:rPr>
            <a:t>£899</a:t>
          </a:r>
          <a:r>
            <a:rPr lang="en-GB" sz="1200">
              <a:solidFill>
                <a:schemeClr val="bg1"/>
              </a:solidFill>
              <a:effectLst/>
            </a:rPr>
            <a:t> </a:t>
          </a:r>
          <a:endParaRPr lang="en-GB" sz="1200">
            <a:solidFill>
              <a:schemeClr val="bg1"/>
            </a:solidFill>
          </a:endParaRPr>
        </a:p>
      </xdr:txBody>
    </xdr:sp>
    <xdr:clientData/>
  </xdr:twoCellAnchor>
  <xdr:twoCellAnchor>
    <xdr:from>
      <xdr:col>11</xdr:col>
      <xdr:colOff>484186</xdr:colOff>
      <xdr:row>8</xdr:row>
      <xdr:rowOff>127000</xdr:rowOff>
    </xdr:from>
    <xdr:to>
      <xdr:col>13</xdr:col>
      <xdr:colOff>333374</xdr:colOff>
      <xdr:row>9</xdr:row>
      <xdr:rowOff>166687</xdr:rowOff>
    </xdr:to>
    <xdr:sp macro="" textlink="">
      <xdr:nvSpPr>
        <xdr:cNvPr id="33" name="TextBox 32">
          <a:extLst>
            <a:ext uri="{FF2B5EF4-FFF2-40B4-BE49-F238E27FC236}">
              <a16:creationId xmlns:a16="http://schemas.microsoft.com/office/drawing/2014/main" id="{A06E2667-7EDD-6B48-2506-571A2A77DCC1}"/>
            </a:ext>
          </a:extLst>
        </xdr:cNvPr>
        <xdr:cNvSpPr txBox="1"/>
      </xdr:nvSpPr>
      <xdr:spPr>
        <a:xfrm>
          <a:off x="7207249" y="1587500"/>
          <a:ext cx="107156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0" u="none" strike="noStrike">
              <a:solidFill>
                <a:schemeClr val="bg1"/>
              </a:solidFill>
              <a:effectLst/>
              <a:latin typeface="+mn-lt"/>
              <a:ea typeface="+mn-ea"/>
              <a:cs typeface="+mn-cs"/>
            </a:rPr>
            <a:t>£63,978</a:t>
          </a:r>
          <a:r>
            <a:rPr lang="en-GB" sz="1200">
              <a:solidFill>
                <a:schemeClr val="bg1"/>
              </a:solidFill>
              <a:effectLst/>
            </a:rPr>
            <a:t> </a:t>
          </a:r>
          <a:endParaRPr lang="en-GB" sz="1200">
            <a:solidFill>
              <a:schemeClr val="bg1"/>
            </a:solidFill>
          </a:endParaRPr>
        </a:p>
      </xdr:txBody>
    </xdr:sp>
    <xdr:clientData/>
  </xdr:twoCellAnchor>
  <xdr:twoCellAnchor>
    <xdr:from>
      <xdr:col>15</xdr:col>
      <xdr:colOff>452437</xdr:colOff>
      <xdr:row>8</xdr:row>
      <xdr:rowOff>134938</xdr:rowOff>
    </xdr:from>
    <xdr:to>
      <xdr:col>17</xdr:col>
      <xdr:colOff>230187</xdr:colOff>
      <xdr:row>9</xdr:row>
      <xdr:rowOff>158749</xdr:rowOff>
    </xdr:to>
    <xdr:sp macro="" textlink="">
      <xdr:nvSpPr>
        <xdr:cNvPr id="34" name="TextBox 33">
          <a:extLst>
            <a:ext uri="{FF2B5EF4-FFF2-40B4-BE49-F238E27FC236}">
              <a16:creationId xmlns:a16="http://schemas.microsoft.com/office/drawing/2014/main" id="{C33E2794-9E6F-1EDF-7C44-362DCA6B68A5}"/>
            </a:ext>
          </a:extLst>
        </xdr:cNvPr>
        <xdr:cNvSpPr txBox="1"/>
      </xdr:nvSpPr>
      <xdr:spPr>
        <a:xfrm>
          <a:off x="9620250" y="1595438"/>
          <a:ext cx="1000125" cy="206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bg1"/>
              </a:solidFill>
              <a:effectLst/>
              <a:latin typeface="+mn-lt"/>
              <a:ea typeface="+mn-ea"/>
              <a:cs typeface="+mn-cs"/>
            </a:rPr>
            <a:t>£411,627</a:t>
          </a:r>
          <a:r>
            <a:rPr lang="en-GB" sz="1200">
              <a:solidFill>
                <a:schemeClr val="bg1"/>
              </a:solidFill>
              <a:effectLst/>
            </a:rPr>
            <a:t> </a:t>
          </a:r>
          <a:endParaRPr lang="en-GB" sz="1200">
            <a:solidFill>
              <a:schemeClr val="bg1"/>
            </a:solidFill>
          </a:endParaRPr>
        </a:p>
      </xdr:txBody>
    </xdr:sp>
    <xdr:clientData/>
  </xdr:twoCellAnchor>
  <xdr:twoCellAnchor>
    <xdr:from>
      <xdr:col>3</xdr:col>
      <xdr:colOff>198437</xdr:colOff>
      <xdr:row>13</xdr:row>
      <xdr:rowOff>7937</xdr:rowOff>
    </xdr:from>
    <xdr:to>
      <xdr:col>10</xdr:col>
      <xdr:colOff>359835</xdr:colOff>
      <xdr:row>25</xdr:row>
      <xdr:rowOff>63500</xdr:rowOff>
    </xdr:to>
    <xdr:graphicFrame macro="">
      <xdr:nvGraphicFramePr>
        <xdr:cNvPr id="36" name="Chart 35">
          <a:extLst>
            <a:ext uri="{FF2B5EF4-FFF2-40B4-BE49-F238E27FC236}">
              <a16:creationId xmlns:a16="http://schemas.microsoft.com/office/drawing/2014/main" id="{7A360AD0-DF09-4ED0-9A5D-EF4CE3536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579438</xdr:colOff>
      <xdr:row>13</xdr:row>
      <xdr:rowOff>47625</xdr:rowOff>
    </xdr:from>
    <xdr:to>
      <xdr:col>18</xdr:col>
      <xdr:colOff>79376</xdr:colOff>
      <xdr:row>25</xdr:row>
      <xdr:rowOff>26458</xdr:rowOff>
    </xdr:to>
    <xdr:graphicFrame macro="">
      <xdr:nvGraphicFramePr>
        <xdr:cNvPr id="37" name="Chart 36">
          <a:extLst>
            <a:ext uri="{FF2B5EF4-FFF2-40B4-BE49-F238E27FC236}">
              <a16:creationId xmlns:a16="http://schemas.microsoft.com/office/drawing/2014/main" id="{294C69FB-409C-4143-B11F-41152583D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190500</xdr:colOff>
      <xdr:row>27</xdr:row>
      <xdr:rowOff>15876</xdr:rowOff>
    </xdr:from>
    <xdr:to>
      <xdr:col>9</xdr:col>
      <xdr:colOff>587374</xdr:colOff>
      <xdr:row>39</xdr:row>
      <xdr:rowOff>63500</xdr:rowOff>
    </xdr:to>
    <xdr:graphicFrame macro="">
      <xdr:nvGraphicFramePr>
        <xdr:cNvPr id="39" name="Chart 38">
          <a:extLst>
            <a:ext uri="{FF2B5EF4-FFF2-40B4-BE49-F238E27FC236}">
              <a16:creationId xmlns:a16="http://schemas.microsoft.com/office/drawing/2014/main" id="{DC348531-FC44-44A2-8705-759C9604C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190501</xdr:colOff>
      <xdr:row>27</xdr:row>
      <xdr:rowOff>111125</xdr:rowOff>
    </xdr:from>
    <xdr:to>
      <xdr:col>23</xdr:col>
      <xdr:colOff>490683</xdr:colOff>
      <xdr:row>39</xdr:row>
      <xdr:rowOff>79375</xdr:rowOff>
    </xdr:to>
    <xdr:graphicFrame macro="">
      <xdr:nvGraphicFramePr>
        <xdr:cNvPr id="40" name="Chart 39">
          <a:extLst>
            <a:ext uri="{FF2B5EF4-FFF2-40B4-BE49-F238E27FC236}">
              <a16:creationId xmlns:a16="http://schemas.microsoft.com/office/drawing/2014/main" id="{EAD0071E-2FA8-424B-BFD2-F8AAE4AD5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317500</xdr:colOff>
      <xdr:row>11</xdr:row>
      <xdr:rowOff>142875</xdr:rowOff>
    </xdr:from>
    <xdr:to>
      <xdr:col>3</xdr:col>
      <xdr:colOff>39687</xdr:colOff>
      <xdr:row>32</xdr:row>
      <xdr:rowOff>10584</xdr:rowOff>
    </xdr:to>
    <mc:AlternateContent xmlns:mc="http://schemas.openxmlformats.org/markup-compatibility/2006" xmlns:sle15="http://schemas.microsoft.com/office/drawing/2012/slicer">
      <mc:Choice Requires="sle15">
        <xdr:graphicFrame macro="">
          <xdr:nvGraphicFramePr>
            <xdr:cNvPr id="42" name="Month">
              <a:extLst>
                <a:ext uri="{FF2B5EF4-FFF2-40B4-BE49-F238E27FC236}">
                  <a16:creationId xmlns:a16="http://schemas.microsoft.com/office/drawing/2014/main" id="{EE4EB902-C704-4400-8B28-89BE4C9A34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17500" y="2151063"/>
              <a:ext cx="1555750" cy="370152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357186</xdr:colOff>
      <xdr:row>6</xdr:row>
      <xdr:rowOff>87313</xdr:rowOff>
    </xdr:from>
    <xdr:to>
      <xdr:col>3</xdr:col>
      <xdr:colOff>79374</xdr:colOff>
      <xdr:row>11</xdr:row>
      <xdr:rowOff>79375</xdr:rowOff>
    </xdr:to>
    <mc:AlternateContent xmlns:mc="http://schemas.openxmlformats.org/markup-compatibility/2006" xmlns:sle15="http://schemas.microsoft.com/office/drawing/2012/slicer">
      <mc:Choice Requires="sle15">
        <xdr:graphicFrame macro="">
          <xdr:nvGraphicFramePr>
            <xdr:cNvPr id="41" name="Year">
              <a:extLst>
                <a:ext uri="{FF2B5EF4-FFF2-40B4-BE49-F238E27FC236}">
                  <a16:creationId xmlns:a16="http://schemas.microsoft.com/office/drawing/2014/main" id="{61076FA1-BFBE-4E6E-B2B0-66124351E09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7186" y="1182688"/>
              <a:ext cx="1555751" cy="9048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328083</xdr:colOff>
      <xdr:row>32</xdr:row>
      <xdr:rowOff>5291</xdr:rowOff>
    </xdr:from>
    <xdr:to>
      <xdr:col>2</xdr:col>
      <xdr:colOff>571499</xdr:colOff>
      <xdr:row>39</xdr:row>
      <xdr:rowOff>164854</xdr:rowOff>
    </xdr:to>
    <mc:AlternateContent xmlns:mc="http://schemas.openxmlformats.org/markup-compatibility/2006" xmlns:sle15="http://schemas.microsoft.com/office/drawing/2012/slicer">
      <mc:Choice Requires="sle15">
        <xdr:graphicFrame macro="">
          <xdr:nvGraphicFramePr>
            <xdr:cNvPr id="43" name="Region">
              <a:extLst>
                <a:ext uri="{FF2B5EF4-FFF2-40B4-BE49-F238E27FC236}">
                  <a16:creationId xmlns:a16="http://schemas.microsoft.com/office/drawing/2014/main" id="{330B4B00-1C5F-4423-BB3A-F3C02F3F4E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8083" y="5847291"/>
              <a:ext cx="1465791" cy="143750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18</xdr:col>
      <xdr:colOff>269874</xdr:colOff>
      <xdr:row>6</xdr:row>
      <xdr:rowOff>63500</xdr:rowOff>
    </xdr:from>
    <xdr:to>
      <xdr:col>23</xdr:col>
      <xdr:colOff>476249</xdr:colOff>
      <xdr:row>25</xdr:row>
      <xdr:rowOff>31750</xdr:rowOff>
    </xdr:to>
    <xdr:graphicFrame macro="">
      <xdr:nvGraphicFramePr>
        <xdr:cNvPr id="45" name="Chart 44">
          <a:extLst>
            <a:ext uri="{FF2B5EF4-FFF2-40B4-BE49-F238E27FC236}">
              <a16:creationId xmlns:a16="http://schemas.microsoft.com/office/drawing/2014/main" id="{C9CCF7CA-2133-4944-9989-38523B7FF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230188</xdr:colOff>
      <xdr:row>27</xdr:row>
      <xdr:rowOff>55562</xdr:rowOff>
    </xdr:from>
    <xdr:to>
      <xdr:col>16</xdr:col>
      <xdr:colOff>500063</xdr:colOff>
      <xdr:row>39</xdr:row>
      <xdr:rowOff>158750</xdr:rowOff>
    </xdr:to>
    <xdr:graphicFrame macro="">
      <xdr:nvGraphicFramePr>
        <xdr:cNvPr id="46" name="Chart 45">
          <a:extLst>
            <a:ext uri="{FF2B5EF4-FFF2-40B4-BE49-F238E27FC236}">
              <a16:creationId xmlns:a16="http://schemas.microsoft.com/office/drawing/2014/main" id="{7524CF02-BCAC-40BF-8F14-3D3481974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reedom_Analytics_%20Sales%20Perform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ALCULATIONS"/>
      <sheetName val="DASHBOARD"/>
    </sheetNames>
    <sheetDataSet>
      <sheetData sheetId="0" refreshError="1"/>
      <sheetData sheetId="1" refreshError="1">
        <row r="2">
          <cell r="C2">
            <v>45985</v>
          </cell>
        </row>
        <row r="11">
          <cell r="C11">
            <v>422</v>
          </cell>
          <cell r="F11" t="str">
            <v>▲39% VS LY</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3.026338425923" createdVersion="8" refreshedVersion="8" minRefreshableVersion="3" recordCount="300" xr:uid="{AE76D031-E48C-4D5D-99CA-FDE6A3B6530F}">
  <cacheSource type="worksheet">
    <worksheetSource name="Table14"/>
  </cacheSource>
  <cacheFields count="12">
    <cacheField name="OrderID" numFmtId="0">
      <sharedItems/>
    </cacheField>
    <cacheField name="Date" numFmtId="14">
      <sharedItems containsSemiMixedTypes="0" containsNonDate="0" containsDate="1" containsString="0" minDate="2023-01-02T00:00:00" maxDate="2024-12-27T00:00:00"/>
    </cacheField>
    <cacheField name="Year" numFmtId="14">
      <sharedItems count="2">
        <s v="2023"/>
        <s v="2024"/>
      </sharedItems>
    </cacheField>
    <cacheField name="Month" numFmtId="14">
      <sharedItems count="12">
        <s v="January"/>
        <s v="August"/>
        <s v="July"/>
        <s v="April"/>
        <s v="December"/>
        <s v="February"/>
        <s v="September"/>
        <s v="October"/>
        <s v="May"/>
        <s v="November"/>
        <s v="March"/>
        <s v="June"/>
      </sharedItems>
    </cacheField>
    <cacheField name="Quarter" numFmtId="14">
      <sharedItems count="4">
        <s v="Q1"/>
        <s v="Q3"/>
        <s v="Q2"/>
        <s v="Q4"/>
      </sharedItems>
    </cacheField>
    <cacheField name="Product" numFmtId="49">
      <sharedItems/>
    </cacheField>
    <cacheField name="Category" numFmtId="49">
      <sharedItems/>
    </cacheField>
    <cacheField name="Region" numFmtId="49">
      <sharedItems/>
    </cacheField>
    <cacheField name="Sales" numFmtId="166">
      <sharedItems containsSemiMixedTypes="0" containsString="0" containsNumber="1" minValue="87.11" maxValue="11969.38"/>
    </cacheField>
    <cacheField name="Quantity" numFmtId="1">
      <sharedItems containsSemiMixedTypes="0" containsString="0" containsNumber="1" containsInteger="1" minValue="1" maxValue="10"/>
    </cacheField>
    <cacheField name="Cost" numFmtId="166">
      <sharedItems containsSemiMixedTypes="0" containsString="0" containsNumber="1" minValue="21.32" maxValue="798.79"/>
    </cacheField>
    <cacheField name="Profit" numFmtId="166">
      <sharedItems containsSemiMixedTypes="0" containsString="0" containsNumber="1" minValue="19.670000000000002" maxValue="11170.5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3.032034143522" createdVersion="8" refreshedVersion="8" minRefreshableVersion="3" recordCount="300" xr:uid="{33CD65AD-0046-456E-A387-4CF34F02E007}">
  <cacheSource type="worksheet">
    <worksheetSource name="Table14"/>
  </cacheSource>
  <cacheFields count="12">
    <cacheField name="OrderID" numFmtId="0">
      <sharedItems count="3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haredItems>
    </cacheField>
    <cacheField name="Date" numFmtId="14">
      <sharedItems containsSemiMixedTypes="0" containsNonDate="0" containsDate="1" containsString="0" minDate="2023-01-02T00:00:00" maxDate="2024-12-27T00:00:00"/>
    </cacheField>
    <cacheField name="Year" numFmtId="14">
      <sharedItems/>
    </cacheField>
    <cacheField name="Month" numFmtId="14">
      <sharedItems/>
    </cacheField>
    <cacheField name="Quarter" numFmtId="14">
      <sharedItems count="4">
        <s v="Q1"/>
        <s v="Q3"/>
        <s v="Q2"/>
        <s v="Q4"/>
      </sharedItems>
    </cacheField>
    <cacheField name="Product" numFmtId="49">
      <sharedItems count="6">
        <s v="Printer"/>
        <s v="Laptop"/>
        <s v="Mouse"/>
        <s v="Monitor"/>
        <s v="Keyboard"/>
        <s v="Headphones"/>
      </sharedItems>
    </cacheField>
    <cacheField name="Category" numFmtId="49">
      <sharedItems count="2">
        <s v="Electronics"/>
        <s v="Accessories"/>
      </sharedItems>
    </cacheField>
    <cacheField name="Region" numFmtId="49">
      <sharedItems/>
    </cacheField>
    <cacheField name="Sales" numFmtId="166">
      <sharedItems containsSemiMixedTypes="0" containsString="0" containsNumber="1" minValue="87.11" maxValue="11969.38"/>
    </cacheField>
    <cacheField name="Quantity" numFmtId="1">
      <sharedItems containsSemiMixedTypes="0" containsString="0" containsNumber="1" containsInteger="1" minValue="1" maxValue="10"/>
    </cacheField>
    <cacheField name="Cost" numFmtId="166">
      <sharedItems containsSemiMixedTypes="0" containsString="0" containsNumber="1" minValue="21.32" maxValue="798.79"/>
    </cacheField>
    <cacheField name="Profit" numFmtId="166">
      <sharedItems containsSemiMixedTypes="0" containsString="0" containsNumber="1" minValue="19.670000000000002" maxValue="11170.5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3.746192245373" createdVersion="6" refreshedVersion="8" minRefreshableVersion="3" recordCount="300" xr:uid="{79783DD6-7240-4755-B4BD-F0817031DC3F}">
  <cacheSource type="worksheet">
    <worksheetSource name="Table13"/>
  </cacheSource>
  <cacheFields count="15">
    <cacheField name="OrderID" numFmtId="49">
      <sharedItems/>
    </cacheField>
    <cacheField name="Date" numFmtId="1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4"/>
    </cacheField>
    <cacheField name="MONTH" numFmtId="14">
      <sharedItems count="12">
        <s v="Jan"/>
        <s v="Aug"/>
        <s v="Jul"/>
        <s v="Apr"/>
        <s v="Dec"/>
        <s v="Feb"/>
        <s v="Sep"/>
        <s v="Oct"/>
        <s v="May"/>
        <s v="Nov"/>
        <s v="Mar"/>
        <s v="Jun"/>
      </sharedItems>
    </cacheField>
    <cacheField name="YEAR" numFmtId="14">
      <sharedItems count="2">
        <s v="2023"/>
        <s v="2024"/>
      </sharedItems>
    </cacheField>
    <cacheField name="Product" numFmtId="49">
      <sharedItems count="6">
        <s v="Printer"/>
        <s v="Laptop"/>
        <s v="Mouse"/>
        <s v="Monitor"/>
        <s v="Keyboard"/>
        <s v="Headphones"/>
      </sharedItems>
    </cacheField>
    <cacheField name="Category" numFmtId="49">
      <sharedItems count="2">
        <s v="Electronics"/>
        <s v="Accessories"/>
      </sharedItems>
    </cacheField>
    <cacheField name="Region" numFmtId="49">
      <sharedItems count="4">
        <s v="East"/>
        <s v="West"/>
        <s v="South"/>
        <s v="North"/>
      </sharedItems>
    </cacheField>
    <cacheField name="Sales" numFmtId="165">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165">
      <sharedItems containsSemiMixedTypes="0" containsString="0" containsNumber="1" minValue="21.32" maxValue="798.79"/>
    </cacheField>
    <cacheField name="Quarter" numFmtId="0">
      <sharedItems count="4">
        <s v="Q1"/>
        <s v="Q3"/>
        <s v="Q2"/>
        <s v="Q4"/>
      </sharedItems>
    </cacheField>
    <cacheField name="Profit" numFmtId="0" formula="Sales-Cost" databaseField="0"/>
    <cacheField name="Months (Date)" numFmtId="0" databaseField="0">
      <fieldGroup base="1">
        <rangePr groupBy="months" startDate="2023-01-02T00:00:00" endDate="2024-12-27T00:00:00"/>
        <groupItems count="14">
          <s v="&lt;02/01/2023"/>
          <s v="Jan"/>
          <s v="Feb"/>
          <s v="Mar"/>
          <s v="Apr"/>
          <s v="May"/>
          <s v="Jun"/>
          <s v="Jul"/>
          <s v="Aug"/>
          <s v="Sep"/>
          <s v="Oct"/>
          <s v="Nov"/>
          <s v="Dec"/>
          <s v="&gt;27/12/2024"/>
        </groupItems>
      </fieldGroup>
    </cacheField>
    <cacheField name="Quarters (Date)" numFmtId="0" databaseField="0">
      <fieldGroup base="1">
        <rangePr groupBy="quarters" startDate="2023-01-02T00:00:00" endDate="2024-12-27T00:00:00"/>
        <groupItems count="6">
          <s v="&lt;02/01/2023"/>
          <s v="Qtr1"/>
          <s v="Qtr2"/>
          <s v="Qtr3"/>
          <s v="Qtr4"/>
          <s v="&gt;27/12/2024"/>
        </groupItems>
      </fieldGroup>
    </cacheField>
    <cacheField name="Years (Date)"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3.746698263887" createdVersion="8" refreshedVersion="8" minRefreshableVersion="3" recordCount="300" xr:uid="{2E62141E-DD67-4663-9AB8-1831570C6639}">
  <cacheSource type="worksheet">
    <worksheetSource name="Table14"/>
  </cacheSource>
  <cacheFields count="12">
    <cacheField name="OrderID" numFmtId="0">
      <sharedItems/>
    </cacheField>
    <cacheField name="Date" numFmtId="14">
      <sharedItems containsSemiMixedTypes="0" containsNonDate="0" containsDate="1" containsString="0" minDate="2023-01-02T00:00:00" maxDate="2024-12-27T00:00:00"/>
    </cacheField>
    <cacheField name="Year" numFmtId="14">
      <sharedItems/>
    </cacheField>
    <cacheField name="Month" numFmtId="14">
      <sharedItems/>
    </cacheField>
    <cacheField name="Quarter" numFmtId="14">
      <sharedItems/>
    </cacheField>
    <cacheField name="Product" numFmtId="49">
      <sharedItems/>
    </cacheField>
    <cacheField name="Category" numFmtId="49">
      <sharedItems/>
    </cacheField>
    <cacheField name="Region" numFmtId="49">
      <sharedItems count="4">
        <s v="East"/>
        <s v="West"/>
        <s v="South"/>
        <s v="North"/>
      </sharedItems>
    </cacheField>
    <cacheField name="Sales" numFmtId="166">
      <sharedItems containsSemiMixedTypes="0" containsString="0" containsNumber="1" minValue="87.11" maxValue="11969.38"/>
    </cacheField>
    <cacheField name="Quantity" numFmtId="1">
      <sharedItems containsSemiMixedTypes="0" containsString="0" containsNumber="1" containsInteger="1" minValue="1" maxValue="10"/>
    </cacheField>
    <cacheField name="Cost" numFmtId="166">
      <sharedItems containsSemiMixedTypes="0" containsString="0" containsNumber="1" minValue="21.32" maxValue="798.79"/>
    </cacheField>
    <cacheField name="Profit" numFmtId="166">
      <sharedItems containsSemiMixedTypes="0" containsString="0" containsNumber="1" minValue="19.670000000000002" maxValue="11170.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d v="2023-01-26T00:00:00"/>
    <x v="0"/>
    <x v="0"/>
    <x v="0"/>
    <s v="Printer"/>
    <s v="Electronics"/>
    <s v="East"/>
    <n v="1219.5"/>
    <n v="5"/>
    <n v="211.02"/>
    <n v="1008.48"/>
  </r>
  <r>
    <s v="ORD0002"/>
    <d v="2024-08-27T00:00:00"/>
    <x v="1"/>
    <x v="1"/>
    <x v="1"/>
    <s v="Laptop"/>
    <s v="Electronics"/>
    <s v="East"/>
    <n v="356.63"/>
    <n v="7"/>
    <n v="44.79"/>
    <n v="311.83999999999997"/>
  </r>
  <r>
    <s v="ORD0003"/>
    <d v="2024-07-28T00:00:00"/>
    <x v="1"/>
    <x v="2"/>
    <x v="1"/>
    <s v="Mouse"/>
    <s v="Accessories"/>
    <s v="East"/>
    <n v="3194.55"/>
    <n v="4"/>
    <n v="578.5"/>
    <n v="2616.0500000000002"/>
  </r>
  <r>
    <s v="ORD0004"/>
    <d v="2024-04-04T00:00:00"/>
    <x v="1"/>
    <x v="3"/>
    <x v="2"/>
    <s v="Monitor"/>
    <s v="Electronics"/>
    <s v="West"/>
    <n v="3430.95"/>
    <n v="10"/>
    <n v="236.99"/>
    <n v="3193.96"/>
  </r>
  <r>
    <s v="ORD0005"/>
    <d v="2023-12-15T00:00:00"/>
    <x v="0"/>
    <x v="4"/>
    <x v="3"/>
    <s v="Mouse"/>
    <s v="Accessories"/>
    <s v="South"/>
    <n v="1047.44"/>
    <n v="5"/>
    <n v="141.27000000000001"/>
    <n v="906.17000000000007"/>
  </r>
  <r>
    <s v="ORD0006"/>
    <d v="2023-04-05T00:00:00"/>
    <x v="0"/>
    <x v="3"/>
    <x v="2"/>
    <s v="Keyboard"/>
    <s v="Accessories"/>
    <s v="East"/>
    <n v="961.37"/>
    <n v="7"/>
    <n v="95.44"/>
    <n v="865.93000000000006"/>
  </r>
  <r>
    <s v="ORD0007"/>
    <d v="2023-02-14T00:00:00"/>
    <x v="0"/>
    <x v="5"/>
    <x v="0"/>
    <s v="Headphones"/>
    <s v="Accessories"/>
    <s v="North"/>
    <n v="5221.42"/>
    <n v="8"/>
    <n v="438.26"/>
    <n v="4783.16"/>
  </r>
  <r>
    <s v="ORD0008"/>
    <d v="2024-07-19T00:00:00"/>
    <x v="1"/>
    <x v="2"/>
    <x v="1"/>
    <s v="Monitor"/>
    <s v="Electronics"/>
    <s v="East"/>
    <n v="4493.2"/>
    <n v="5"/>
    <n v="666.94"/>
    <n v="3826.2599999999998"/>
  </r>
  <r>
    <s v="ORD0009"/>
    <d v="2024-12-22T00:00:00"/>
    <x v="1"/>
    <x v="4"/>
    <x v="3"/>
    <s v="Keyboard"/>
    <s v="Accessories"/>
    <s v="West"/>
    <n v="132.79"/>
    <n v="2"/>
    <n v="55.74"/>
    <n v="77.049999999999983"/>
  </r>
  <r>
    <s v="ORD0010"/>
    <d v="2023-08-27T00:00:00"/>
    <x v="0"/>
    <x v="1"/>
    <x v="1"/>
    <s v="Keyboard"/>
    <s v="Accessories"/>
    <s v="East"/>
    <n v="811.1"/>
    <n v="2"/>
    <n v="316.5"/>
    <n v="494.6"/>
  </r>
  <r>
    <s v="ORD0011"/>
    <d v="2024-01-15T00:00:00"/>
    <x v="1"/>
    <x v="0"/>
    <x v="0"/>
    <s v="Keyboard"/>
    <s v="Accessories"/>
    <s v="West"/>
    <n v="1328.1"/>
    <n v="6"/>
    <n v="183.42"/>
    <n v="1144.6799999999998"/>
  </r>
  <r>
    <s v="ORD0012"/>
    <d v="2024-09-15T00:00:00"/>
    <x v="1"/>
    <x v="6"/>
    <x v="1"/>
    <s v="Printer"/>
    <s v="Electronics"/>
    <s v="East"/>
    <n v="1569.15"/>
    <n v="3"/>
    <n v="436.63"/>
    <n v="1132.52"/>
  </r>
  <r>
    <s v="ORD0013"/>
    <d v="2023-10-04T00:00:00"/>
    <x v="0"/>
    <x v="7"/>
    <x v="3"/>
    <s v="Monitor"/>
    <s v="Electronics"/>
    <s v="South"/>
    <n v="2117.1999999999998"/>
    <n v="9"/>
    <n v="191.3"/>
    <n v="1925.8999999999999"/>
  </r>
  <r>
    <s v="ORD0014"/>
    <d v="2023-02-02T00:00:00"/>
    <x v="0"/>
    <x v="5"/>
    <x v="0"/>
    <s v="Laptop"/>
    <s v="Electronics"/>
    <s v="West"/>
    <n v="2250.09"/>
    <n v="6"/>
    <n v="332.91"/>
    <n v="1917.18"/>
  </r>
  <r>
    <s v="ORD0015"/>
    <d v="2023-08-06T00:00:00"/>
    <x v="0"/>
    <x v="1"/>
    <x v="1"/>
    <s v="Headphones"/>
    <s v="Accessories"/>
    <s v="North"/>
    <n v="3853.23"/>
    <n v="8"/>
    <n v="328.59"/>
    <n v="3524.64"/>
  </r>
  <r>
    <s v="ORD0016"/>
    <d v="2023-09-29T00:00:00"/>
    <x v="0"/>
    <x v="6"/>
    <x v="1"/>
    <s v="Monitor"/>
    <s v="Electronics"/>
    <s v="West"/>
    <n v="843.88"/>
    <n v="3"/>
    <n v="212.37"/>
    <n v="631.51"/>
  </r>
  <r>
    <s v="ORD0017"/>
    <d v="2024-08-20T00:00:00"/>
    <x v="1"/>
    <x v="1"/>
    <x v="1"/>
    <s v="Keyboard"/>
    <s v="Accessories"/>
    <s v="South"/>
    <n v="3172.52"/>
    <n v="7"/>
    <n v="302.36"/>
    <n v="2870.16"/>
  </r>
  <r>
    <s v="ORD0018"/>
    <d v="2023-04-04T00:00:00"/>
    <x v="0"/>
    <x v="3"/>
    <x v="2"/>
    <s v="Mouse"/>
    <s v="Accessories"/>
    <s v="South"/>
    <n v="803.11"/>
    <n v="1"/>
    <n v="691.66"/>
    <n v="111.45000000000005"/>
  </r>
  <r>
    <s v="ORD0019"/>
    <d v="2024-09-02T00:00:00"/>
    <x v="1"/>
    <x v="6"/>
    <x v="1"/>
    <s v="Mouse"/>
    <s v="Accessories"/>
    <s v="South"/>
    <n v="856.87"/>
    <n v="2"/>
    <n v="320.12"/>
    <n v="536.75"/>
  </r>
  <r>
    <s v="ORD0020"/>
    <d v="2024-07-20T00:00:00"/>
    <x v="1"/>
    <x v="2"/>
    <x v="1"/>
    <s v="Monitor"/>
    <s v="Electronics"/>
    <s v="North"/>
    <n v="630.91"/>
    <n v="1"/>
    <n v="550.62"/>
    <n v="80.289999999999964"/>
  </r>
  <r>
    <s v="ORD0021"/>
    <d v="2024-10-18T00:00:00"/>
    <x v="1"/>
    <x v="7"/>
    <x v="3"/>
    <s v="Headphones"/>
    <s v="Accessories"/>
    <s v="North"/>
    <n v="817.92"/>
    <n v="6"/>
    <n v="107.01"/>
    <n v="710.91"/>
  </r>
  <r>
    <s v="ORD0022"/>
    <d v="2023-09-27T00:00:00"/>
    <x v="0"/>
    <x v="6"/>
    <x v="1"/>
    <s v="Monitor"/>
    <s v="Electronics"/>
    <s v="East"/>
    <n v="7204.65"/>
    <n v="9"/>
    <n v="614.33000000000004"/>
    <n v="6590.32"/>
  </r>
  <r>
    <s v="ORD0023"/>
    <d v="2024-10-16T00:00:00"/>
    <x v="1"/>
    <x v="7"/>
    <x v="3"/>
    <s v="Laptop"/>
    <s v="Electronics"/>
    <s v="North"/>
    <n v="5172.8599999999997"/>
    <n v="9"/>
    <n v="495"/>
    <n v="4677.8599999999997"/>
  </r>
  <r>
    <s v="ORD0024"/>
    <d v="2024-09-05T00:00:00"/>
    <x v="1"/>
    <x v="6"/>
    <x v="1"/>
    <s v="Mouse"/>
    <s v="Accessories"/>
    <s v="East"/>
    <n v="2755.02"/>
    <n v="6"/>
    <n v="401.11"/>
    <n v="2353.91"/>
  </r>
  <r>
    <s v="ORD0025"/>
    <d v="2023-09-03T00:00:00"/>
    <x v="0"/>
    <x v="6"/>
    <x v="1"/>
    <s v="Keyboard"/>
    <s v="Accessories"/>
    <s v="North"/>
    <n v="275.83999999999997"/>
    <n v="1"/>
    <n v="207.88"/>
    <n v="67.95999999999998"/>
  </r>
  <r>
    <s v="ORD0026"/>
    <d v="2024-05-12T00:00:00"/>
    <x v="1"/>
    <x v="8"/>
    <x v="2"/>
    <s v="Laptop"/>
    <s v="Electronics"/>
    <s v="East"/>
    <n v="2055.84"/>
    <n v="2"/>
    <n v="782.83"/>
    <n v="1273.0100000000002"/>
  </r>
  <r>
    <s v="ORD0027"/>
    <d v="2024-11-06T00:00:00"/>
    <x v="1"/>
    <x v="9"/>
    <x v="3"/>
    <s v="Mouse"/>
    <s v="Accessories"/>
    <s v="West"/>
    <n v="7075.97"/>
    <n v="8"/>
    <n v="758.54"/>
    <n v="6317.43"/>
  </r>
  <r>
    <s v="ORD0028"/>
    <d v="2023-08-05T00:00:00"/>
    <x v="0"/>
    <x v="1"/>
    <x v="1"/>
    <s v="Headphones"/>
    <s v="Accessories"/>
    <s v="South"/>
    <n v="7542.93"/>
    <n v="9"/>
    <n v="609.11"/>
    <n v="6933.8200000000006"/>
  </r>
  <r>
    <s v="ORD0029"/>
    <d v="2024-02-13T00:00:00"/>
    <x v="1"/>
    <x v="5"/>
    <x v="0"/>
    <s v="Printer"/>
    <s v="Electronics"/>
    <s v="North"/>
    <n v="2836.67"/>
    <n v="6"/>
    <n v="361.72"/>
    <n v="2474.9499999999998"/>
  </r>
  <r>
    <s v="ORD0030"/>
    <d v="2023-08-19T00:00:00"/>
    <x v="0"/>
    <x v="1"/>
    <x v="1"/>
    <s v="Laptop"/>
    <s v="Electronics"/>
    <s v="West"/>
    <n v="757.69"/>
    <n v="2"/>
    <n v="283.70999999999998"/>
    <n v="473.98000000000008"/>
  </r>
  <r>
    <s v="ORD0031"/>
    <d v="2023-01-08T00:00:00"/>
    <x v="0"/>
    <x v="0"/>
    <x v="0"/>
    <s v="Mouse"/>
    <s v="Accessories"/>
    <s v="West"/>
    <n v="1285.6099999999999"/>
    <n v="2"/>
    <n v="572.12"/>
    <n v="713.4899999999999"/>
  </r>
  <r>
    <s v="ORD0032"/>
    <d v="2023-12-05T00:00:00"/>
    <x v="0"/>
    <x v="4"/>
    <x v="3"/>
    <s v="Laptop"/>
    <s v="Electronics"/>
    <s v="East"/>
    <n v="1020.09"/>
    <n v="2"/>
    <n v="421.04"/>
    <n v="599.04999999999995"/>
  </r>
  <r>
    <s v="ORD0033"/>
    <d v="2024-07-06T00:00:00"/>
    <x v="1"/>
    <x v="2"/>
    <x v="1"/>
    <s v="Monitor"/>
    <s v="Electronics"/>
    <s v="West"/>
    <n v="2546.5300000000002"/>
    <n v="3"/>
    <n v="584.22"/>
    <n v="1962.3100000000002"/>
  </r>
  <r>
    <s v="ORD0034"/>
    <d v="2023-09-06T00:00:00"/>
    <x v="0"/>
    <x v="6"/>
    <x v="1"/>
    <s v="Headphones"/>
    <s v="Accessories"/>
    <s v="South"/>
    <n v="6114.64"/>
    <n v="8"/>
    <n v="649.85"/>
    <n v="5464.79"/>
  </r>
  <r>
    <s v="ORD0035"/>
    <d v="2023-12-29T00:00:00"/>
    <x v="0"/>
    <x v="4"/>
    <x v="3"/>
    <s v="Laptop"/>
    <s v="Electronics"/>
    <s v="South"/>
    <n v="3447.05"/>
    <n v="7"/>
    <n v="340.66"/>
    <n v="3106.3900000000003"/>
  </r>
  <r>
    <s v="ORD0036"/>
    <d v="2023-03-04T00:00:00"/>
    <x v="0"/>
    <x v="10"/>
    <x v="0"/>
    <s v="Laptop"/>
    <s v="Electronics"/>
    <s v="East"/>
    <n v="5845.79"/>
    <n v="7"/>
    <n v="588.01"/>
    <n v="5257.78"/>
  </r>
  <r>
    <s v="ORD0037"/>
    <d v="2023-07-16T00:00:00"/>
    <x v="0"/>
    <x v="2"/>
    <x v="1"/>
    <s v="Laptop"/>
    <s v="Electronics"/>
    <s v="West"/>
    <n v="2026.83"/>
    <n v="4"/>
    <n v="438.3"/>
    <n v="1588.53"/>
  </r>
  <r>
    <s v="ORD0038"/>
    <d v="2024-04-18T00:00:00"/>
    <x v="1"/>
    <x v="3"/>
    <x v="2"/>
    <s v="Mouse"/>
    <s v="Accessories"/>
    <s v="North"/>
    <n v="3173.92"/>
    <n v="4"/>
    <n v="702.1"/>
    <n v="2471.8200000000002"/>
  </r>
  <r>
    <s v="ORD0039"/>
    <d v="2023-02-21T00:00:00"/>
    <x v="0"/>
    <x v="5"/>
    <x v="0"/>
    <s v="Headphones"/>
    <s v="Accessories"/>
    <s v="East"/>
    <n v="8998.33"/>
    <n v="9"/>
    <n v="672.1"/>
    <n v="8326.23"/>
  </r>
  <r>
    <s v="ORD0040"/>
    <d v="2024-02-21T00:00:00"/>
    <x v="1"/>
    <x v="5"/>
    <x v="0"/>
    <s v="Mouse"/>
    <s v="Accessories"/>
    <s v="West"/>
    <n v="4574.24"/>
    <n v="8"/>
    <n v="395.46"/>
    <n v="4178.78"/>
  </r>
  <r>
    <s v="ORD0041"/>
    <d v="2024-01-24T00:00:00"/>
    <x v="1"/>
    <x v="0"/>
    <x v="0"/>
    <s v="Laptop"/>
    <s v="Electronics"/>
    <s v="West"/>
    <n v="951.04"/>
    <n v="1"/>
    <n v="788.54"/>
    <n v="162.5"/>
  </r>
  <r>
    <s v="ORD0042"/>
    <d v="2024-03-09T00:00:00"/>
    <x v="1"/>
    <x v="10"/>
    <x v="0"/>
    <s v="Monitor"/>
    <s v="Electronics"/>
    <s v="North"/>
    <n v="6248.51"/>
    <n v="9"/>
    <n v="536.26"/>
    <n v="5712.25"/>
  </r>
  <r>
    <s v="ORD0043"/>
    <d v="2023-08-11T00:00:00"/>
    <x v="0"/>
    <x v="1"/>
    <x v="1"/>
    <s v="Mouse"/>
    <s v="Accessories"/>
    <s v="North"/>
    <n v="621.25"/>
    <n v="1"/>
    <n v="471.76"/>
    <n v="149.49"/>
  </r>
  <r>
    <s v="ORD0044"/>
    <d v="2023-02-28T00:00:00"/>
    <x v="0"/>
    <x v="5"/>
    <x v="0"/>
    <s v="Printer"/>
    <s v="Electronics"/>
    <s v="North"/>
    <n v="618.9"/>
    <n v="1"/>
    <n v="475.66"/>
    <n v="143.23999999999995"/>
  </r>
  <r>
    <s v="ORD0045"/>
    <d v="2023-02-28T00:00:00"/>
    <x v="0"/>
    <x v="5"/>
    <x v="0"/>
    <s v="Headphones"/>
    <s v="Accessories"/>
    <s v="West"/>
    <n v="871.83"/>
    <n v="9"/>
    <n v="82.49"/>
    <n v="789.34"/>
  </r>
  <r>
    <s v="ORD0046"/>
    <d v="2024-11-22T00:00:00"/>
    <x v="1"/>
    <x v="9"/>
    <x v="3"/>
    <s v="Headphones"/>
    <s v="Accessories"/>
    <s v="East"/>
    <n v="1978.34"/>
    <n v="4"/>
    <n v="334.94"/>
    <n v="1643.3999999999999"/>
  </r>
  <r>
    <s v="ORD0047"/>
    <d v="2024-08-15T00:00:00"/>
    <x v="1"/>
    <x v="1"/>
    <x v="1"/>
    <s v="Headphones"/>
    <s v="Accessories"/>
    <s v="West"/>
    <n v="577.72"/>
    <n v="10"/>
    <n v="51"/>
    <n v="526.72"/>
  </r>
  <r>
    <s v="ORD0048"/>
    <d v="2023-09-25T00:00:00"/>
    <x v="0"/>
    <x v="6"/>
    <x v="1"/>
    <s v="Printer"/>
    <s v="Electronics"/>
    <s v="North"/>
    <n v="2659.17"/>
    <n v="4"/>
    <n v="542.39"/>
    <n v="2116.7800000000002"/>
  </r>
  <r>
    <s v="ORD0049"/>
    <d v="2023-05-15T00:00:00"/>
    <x v="0"/>
    <x v="8"/>
    <x v="2"/>
    <s v="Keyboard"/>
    <s v="Accessories"/>
    <s v="South"/>
    <n v="2771.33"/>
    <n v="5"/>
    <n v="376.64"/>
    <n v="2394.69"/>
  </r>
  <r>
    <s v="ORD0050"/>
    <d v="2024-04-14T00:00:00"/>
    <x v="1"/>
    <x v="3"/>
    <x v="2"/>
    <s v="Laptop"/>
    <s v="Electronics"/>
    <s v="East"/>
    <n v="11969.38"/>
    <n v="10"/>
    <n v="798.79"/>
    <n v="11170.59"/>
  </r>
  <r>
    <s v="ORD0051"/>
    <d v="2024-06-02T00:00:00"/>
    <x v="1"/>
    <x v="11"/>
    <x v="2"/>
    <s v="Laptop"/>
    <s v="Electronics"/>
    <s v="West"/>
    <n v="764.34"/>
    <n v="5"/>
    <n v="123.32"/>
    <n v="641.02"/>
  </r>
  <r>
    <s v="ORD0052"/>
    <d v="2024-01-14T00:00:00"/>
    <x v="1"/>
    <x v="0"/>
    <x v="0"/>
    <s v="Laptop"/>
    <s v="Electronics"/>
    <s v="West"/>
    <n v="1025.24"/>
    <n v="5"/>
    <n v="143.04"/>
    <n v="882.2"/>
  </r>
  <r>
    <s v="ORD0053"/>
    <d v="2024-09-18T00:00:00"/>
    <x v="1"/>
    <x v="6"/>
    <x v="1"/>
    <s v="Printer"/>
    <s v="Electronics"/>
    <s v="North"/>
    <n v="335.17"/>
    <n v="9"/>
    <n v="26.1"/>
    <n v="309.07"/>
  </r>
  <r>
    <s v="ORD0054"/>
    <d v="2023-05-18T00:00:00"/>
    <x v="0"/>
    <x v="8"/>
    <x v="2"/>
    <s v="Keyboard"/>
    <s v="Accessories"/>
    <s v="East"/>
    <n v="628.72"/>
    <n v="5"/>
    <n v="110.03"/>
    <n v="518.69000000000005"/>
  </r>
  <r>
    <s v="ORD0055"/>
    <d v="2023-10-06T00:00:00"/>
    <x v="0"/>
    <x v="7"/>
    <x v="3"/>
    <s v="Headphones"/>
    <s v="Accessories"/>
    <s v="West"/>
    <n v="3410.54"/>
    <n v="5"/>
    <n v="491.77"/>
    <n v="2918.77"/>
  </r>
  <r>
    <s v="ORD0056"/>
    <d v="2024-06-01T00:00:00"/>
    <x v="1"/>
    <x v="11"/>
    <x v="2"/>
    <s v="Mouse"/>
    <s v="Accessories"/>
    <s v="North"/>
    <n v="2527"/>
    <n v="8"/>
    <n v="215.87"/>
    <n v="2311.13"/>
  </r>
  <r>
    <s v="ORD0057"/>
    <d v="2024-10-11T00:00:00"/>
    <x v="1"/>
    <x v="7"/>
    <x v="3"/>
    <s v="Laptop"/>
    <s v="Electronics"/>
    <s v="East"/>
    <n v="5217.38"/>
    <n v="7"/>
    <n v="666.89"/>
    <n v="4550.49"/>
  </r>
  <r>
    <s v="ORD0058"/>
    <d v="2024-10-14T00:00:00"/>
    <x v="1"/>
    <x v="7"/>
    <x v="3"/>
    <s v="Keyboard"/>
    <s v="Accessories"/>
    <s v="West"/>
    <n v="932.21"/>
    <n v="5"/>
    <n v="146.03"/>
    <n v="786.18000000000006"/>
  </r>
  <r>
    <s v="ORD0059"/>
    <d v="2024-07-28T00:00:00"/>
    <x v="1"/>
    <x v="2"/>
    <x v="1"/>
    <s v="Printer"/>
    <s v="Electronics"/>
    <s v="South"/>
    <n v="158.53"/>
    <n v="1"/>
    <n v="107.26"/>
    <n v="51.269999999999996"/>
  </r>
  <r>
    <s v="ORD0060"/>
    <d v="2024-07-12T00:00:00"/>
    <x v="1"/>
    <x v="2"/>
    <x v="1"/>
    <s v="Printer"/>
    <s v="Electronics"/>
    <s v="West"/>
    <n v="894.42"/>
    <n v="1"/>
    <n v="670.98"/>
    <n v="223.43999999999994"/>
  </r>
  <r>
    <s v="ORD0061"/>
    <d v="2023-05-11T00:00:00"/>
    <x v="0"/>
    <x v="8"/>
    <x v="2"/>
    <s v="Mouse"/>
    <s v="Accessories"/>
    <s v="South"/>
    <n v="380.14"/>
    <n v="1"/>
    <n v="260.44"/>
    <n v="119.69999999999999"/>
  </r>
  <r>
    <s v="ORD0062"/>
    <d v="2023-08-04T00:00:00"/>
    <x v="0"/>
    <x v="1"/>
    <x v="1"/>
    <s v="Laptop"/>
    <s v="Electronics"/>
    <s v="North"/>
    <n v="2682.62"/>
    <n v="4"/>
    <n v="540.21"/>
    <n v="2142.41"/>
  </r>
  <r>
    <s v="ORD0063"/>
    <d v="2024-09-27T00:00:00"/>
    <x v="1"/>
    <x v="6"/>
    <x v="1"/>
    <s v="Headphones"/>
    <s v="Accessories"/>
    <s v="South"/>
    <n v="2659.75"/>
    <n v="3"/>
    <n v="742.1"/>
    <n v="1917.65"/>
  </r>
  <r>
    <s v="ORD0064"/>
    <d v="2024-02-27T00:00:00"/>
    <x v="1"/>
    <x v="5"/>
    <x v="0"/>
    <s v="Mouse"/>
    <s v="Accessories"/>
    <s v="West"/>
    <n v="235.02"/>
    <n v="1"/>
    <n v="159.9"/>
    <n v="75.12"/>
  </r>
  <r>
    <s v="ORD0065"/>
    <d v="2023-10-01T00:00:00"/>
    <x v="0"/>
    <x v="7"/>
    <x v="3"/>
    <s v="Monitor"/>
    <s v="Electronics"/>
    <s v="West"/>
    <n v="2174.9499999999998"/>
    <n v="3"/>
    <n v="634.15"/>
    <n v="1540.7999999999997"/>
  </r>
  <r>
    <s v="ORD0066"/>
    <d v="2023-08-16T00:00:00"/>
    <x v="0"/>
    <x v="1"/>
    <x v="1"/>
    <s v="Laptop"/>
    <s v="Electronics"/>
    <s v="South"/>
    <n v="3374.36"/>
    <n v="4"/>
    <n v="656.94"/>
    <n v="2717.42"/>
  </r>
  <r>
    <s v="ORD0067"/>
    <d v="2023-08-17T00:00:00"/>
    <x v="0"/>
    <x v="1"/>
    <x v="1"/>
    <s v="Keyboard"/>
    <s v="Accessories"/>
    <s v="West"/>
    <n v="673.56"/>
    <n v="1"/>
    <n v="534.83000000000004"/>
    <n v="138.7299999999999"/>
  </r>
  <r>
    <s v="ORD0068"/>
    <d v="2023-10-13T00:00:00"/>
    <x v="0"/>
    <x v="7"/>
    <x v="3"/>
    <s v="Keyboard"/>
    <s v="Accessories"/>
    <s v="East"/>
    <n v="3933.52"/>
    <n v="6"/>
    <n v="520.36"/>
    <n v="3413.16"/>
  </r>
  <r>
    <s v="ORD0069"/>
    <d v="2023-01-29T00:00:00"/>
    <x v="0"/>
    <x v="0"/>
    <x v="0"/>
    <s v="Headphones"/>
    <s v="Accessories"/>
    <s v="North"/>
    <n v="1696.13"/>
    <n v="2"/>
    <n v="704.09"/>
    <n v="992.04000000000008"/>
  </r>
  <r>
    <s v="ORD0070"/>
    <d v="2023-02-09T00:00:00"/>
    <x v="0"/>
    <x v="5"/>
    <x v="0"/>
    <s v="Headphones"/>
    <s v="Accessories"/>
    <s v="North"/>
    <n v="1201.94"/>
    <n v="2"/>
    <n v="485.33"/>
    <n v="716.61000000000013"/>
  </r>
  <r>
    <s v="ORD0071"/>
    <d v="2024-09-12T00:00:00"/>
    <x v="1"/>
    <x v="6"/>
    <x v="1"/>
    <s v="Keyboard"/>
    <s v="Accessories"/>
    <s v="South"/>
    <n v="1447.83"/>
    <n v="9"/>
    <n v="110.2"/>
    <n v="1337.6299999999999"/>
  </r>
  <r>
    <s v="ORD0072"/>
    <d v="2023-02-15T00:00:00"/>
    <x v="0"/>
    <x v="5"/>
    <x v="0"/>
    <s v="Mouse"/>
    <s v="Accessories"/>
    <s v="North"/>
    <n v="219.42"/>
    <n v="7"/>
    <n v="21.32"/>
    <n v="198.1"/>
  </r>
  <r>
    <s v="ORD0073"/>
    <d v="2024-01-08T00:00:00"/>
    <x v="1"/>
    <x v="0"/>
    <x v="0"/>
    <s v="Headphones"/>
    <s v="Accessories"/>
    <s v="West"/>
    <n v="712.97"/>
    <n v="7"/>
    <n v="74.58"/>
    <n v="638.39"/>
  </r>
  <r>
    <s v="ORD0074"/>
    <d v="2024-11-10T00:00:00"/>
    <x v="1"/>
    <x v="9"/>
    <x v="3"/>
    <s v="Keyboard"/>
    <s v="Accessories"/>
    <s v="North"/>
    <n v="1418.79"/>
    <n v="2"/>
    <n v="581.41"/>
    <n v="837.38"/>
  </r>
  <r>
    <s v="ORD0075"/>
    <d v="2023-12-01T00:00:00"/>
    <x v="0"/>
    <x v="4"/>
    <x v="3"/>
    <s v="Keyboard"/>
    <s v="Accessories"/>
    <s v="South"/>
    <n v="5216.66"/>
    <n v="7"/>
    <n v="563.82000000000005"/>
    <n v="4652.84"/>
  </r>
  <r>
    <s v="ORD0076"/>
    <d v="2024-11-11T00:00:00"/>
    <x v="1"/>
    <x v="9"/>
    <x v="3"/>
    <s v="Mouse"/>
    <s v="Accessories"/>
    <s v="South"/>
    <n v="5608.04"/>
    <n v="7"/>
    <n v="548.30999999999995"/>
    <n v="5059.7299999999996"/>
  </r>
  <r>
    <s v="ORD0077"/>
    <d v="2024-02-20T00:00:00"/>
    <x v="1"/>
    <x v="5"/>
    <x v="0"/>
    <s v="Headphones"/>
    <s v="Accessories"/>
    <s v="North"/>
    <n v="7369.35"/>
    <n v="9"/>
    <n v="670.31"/>
    <n v="6699.0400000000009"/>
  </r>
  <r>
    <s v="ORD0078"/>
    <d v="2024-08-16T00:00:00"/>
    <x v="1"/>
    <x v="1"/>
    <x v="1"/>
    <s v="Mouse"/>
    <s v="Accessories"/>
    <s v="South"/>
    <n v="6824.39"/>
    <n v="10"/>
    <n v="530.66999999999996"/>
    <n v="6293.72"/>
  </r>
  <r>
    <s v="ORD0079"/>
    <d v="2024-06-07T00:00:00"/>
    <x v="1"/>
    <x v="11"/>
    <x v="2"/>
    <s v="Monitor"/>
    <s v="Electronics"/>
    <s v="West"/>
    <n v="7587.17"/>
    <n v="8"/>
    <n v="639.11"/>
    <n v="6948.06"/>
  </r>
  <r>
    <s v="ORD0080"/>
    <d v="2024-11-05T00:00:00"/>
    <x v="1"/>
    <x v="9"/>
    <x v="3"/>
    <s v="Printer"/>
    <s v="Electronics"/>
    <s v="West"/>
    <n v="659.15"/>
    <n v="2"/>
    <n v="241.35"/>
    <n v="417.79999999999995"/>
  </r>
  <r>
    <s v="ORD0081"/>
    <d v="2023-04-06T00:00:00"/>
    <x v="0"/>
    <x v="3"/>
    <x v="2"/>
    <s v="Headphones"/>
    <s v="Accessories"/>
    <s v="North"/>
    <n v="2592.84"/>
    <n v="4"/>
    <n v="544.78"/>
    <n v="2048.0600000000004"/>
  </r>
  <r>
    <s v="ORD0082"/>
    <d v="2023-01-26T00:00:00"/>
    <x v="0"/>
    <x v="0"/>
    <x v="0"/>
    <s v="Mouse"/>
    <s v="Accessories"/>
    <s v="West"/>
    <n v="272.18"/>
    <n v="1"/>
    <n v="210.98"/>
    <n v="61.200000000000017"/>
  </r>
  <r>
    <s v="ORD0083"/>
    <d v="2024-02-29T00:00:00"/>
    <x v="1"/>
    <x v="5"/>
    <x v="0"/>
    <s v="Laptop"/>
    <s v="Electronics"/>
    <s v="South"/>
    <n v="2366.4"/>
    <n v="10"/>
    <n v="171.66"/>
    <n v="2194.7400000000002"/>
  </r>
  <r>
    <s v="ORD0084"/>
    <d v="2023-09-07T00:00:00"/>
    <x v="0"/>
    <x v="6"/>
    <x v="1"/>
    <s v="Monitor"/>
    <s v="Electronics"/>
    <s v="South"/>
    <n v="1758.25"/>
    <n v="3"/>
    <n v="531.73"/>
    <n v="1226.52"/>
  </r>
  <r>
    <s v="ORD0085"/>
    <d v="2023-08-13T00:00:00"/>
    <x v="0"/>
    <x v="1"/>
    <x v="1"/>
    <s v="Laptop"/>
    <s v="Electronics"/>
    <s v="South"/>
    <n v="2676.27"/>
    <n v="3"/>
    <n v="647.21"/>
    <n v="2029.06"/>
  </r>
  <r>
    <s v="ORD0086"/>
    <d v="2024-07-24T00:00:00"/>
    <x v="1"/>
    <x v="2"/>
    <x v="1"/>
    <s v="Monitor"/>
    <s v="Electronics"/>
    <s v="East"/>
    <n v="3379.61"/>
    <n v="4"/>
    <n v="735.63"/>
    <n v="2643.98"/>
  </r>
  <r>
    <s v="ORD0087"/>
    <d v="2024-11-14T00:00:00"/>
    <x v="1"/>
    <x v="9"/>
    <x v="3"/>
    <s v="Mouse"/>
    <s v="Accessories"/>
    <s v="South"/>
    <n v="9521.2099999999991"/>
    <n v="9"/>
    <n v="790.56"/>
    <n v="8730.65"/>
  </r>
  <r>
    <s v="ORD0088"/>
    <d v="2024-07-15T00:00:00"/>
    <x v="1"/>
    <x v="2"/>
    <x v="1"/>
    <s v="Monitor"/>
    <s v="Electronics"/>
    <s v="South"/>
    <n v="8047.37"/>
    <n v="8"/>
    <n v="719.82"/>
    <n v="7327.55"/>
  </r>
  <r>
    <s v="ORD0089"/>
    <d v="2023-09-23T00:00:00"/>
    <x v="0"/>
    <x v="6"/>
    <x v="1"/>
    <s v="Monitor"/>
    <s v="Electronics"/>
    <s v="South"/>
    <n v="3269.93"/>
    <n v="4"/>
    <n v="675.09"/>
    <n v="2594.8399999999997"/>
  </r>
  <r>
    <s v="ORD0090"/>
    <d v="2024-10-03T00:00:00"/>
    <x v="1"/>
    <x v="7"/>
    <x v="3"/>
    <s v="Headphones"/>
    <s v="Accessories"/>
    <s v="South"/>
    <n v="1059.47"/>
    <n v="4"/>
    <n v="234.19"/>
    <n v="825.28"/>
  </r>
  <r>
    <s v="ORD0091"/>
    <d v="2023-10-06T00:00:00"/>
    <x v="0"/>
    <x v="7"/>
    <x v="3"/>
    <s v="Keyboard"/>
    <s v="Accessories"/>
    <s v="West"/>
    <n v="2127.04"/>
    <n v="6"/>
    <n v="269.37"/>
    <n v="1857.67"/>
  </r>
  <r>
    <s v="ORD0092"/>
    <d v="2023-08-25T00:00:00"/>
    <x v="0"/>
    <x v="1"/>
    <x v="1"/>
    <s v="Mouse"/>
    <s v="Accessories"/>
    <s v="West"/>
    <n v="5432.05"/>
    <n v="7"/>
    <n v="561.28"/>
    <n v="4870.7700000000004"/>
  </r>
  <r>
    <s v="ORD0093"/>
    <d v="2024-02-22T00:00:00"/>
    <x v="1"/>
    <x v="5"/>
    <x v="0"/>
    <s v="Laptop"/>
    <s v="Electronics"/>
    <s v="South"/>
    <n v="3367.67"/>
    <n v="6"/>
    <n v="443.24"/>
    <n v="2924.4300000000003"/>
  </r>
  <r>
    <s v="ORD0094"/>
    <d v="2024-02-03T00:00:00"/>
    <x v="1"/>
    <x v="5"/>
    <x v="0"/>
    <s v="Mouse"/>
    <s v="Accessories"/>
    <s v="South"/>
    <n v="8396.4500000000007"/>
    <n v="10"/>
    <n v="757.93"/>
    <n v="7638.52"/>
  </r>
  <r>
    <s v="ORD0095"/>
    <d v="2024-05-03T00:00:00"/>
    <x v="1"/>
    <x v="8"/>
    <x v="2"/>
    <s v="Headphones"/>
    <s v="Accessories"/>
    <s v="South"/>
    <n v="921.1"/>
    <n v="1"/>
    <n v="755.34"/>
    <n v="165.76"/>
  </r>
  <r>
    <s v="ORD0096"/>
    <d v="2024-07-05T00:00:00"/>
    <x v="1"/>
    <x v="2"/>
    <x v="1"/>
    <s v="Monitor"/>
    <s v="Electronics"/>
    <s v="South"/>
    <n v="8455.77"/>
    <n v="9"/>
    <n v="643.9"/>
    <n v="7811.8700000000008"/>
  </r>
  <r>
    <s v="ORD0097"/>
    <d v="2023-10-07T00:00:00"/>
    <x v="0"/>
    <x v="7"/>
    <x v="3"/>
    <s v="Monitor"/>
    <s v="Electronics"/>
    <s v="West"/>
    <n v="3504.97"/>
    <n v="7"/>
    <n v="398.8"/>
    <n v="3106.1699999999996"/>
  </r>
  <r>
    <s v="ORD0098"/>
    <d v="2023-06-19T00:00:00"/>
    <x v="0"/>
    <x v="11"/>
    <x v="2"/>
    <s v="Printer"/>
    <s v="Electronics"/>
    <s v="South"/>
    <n v="8801.4"/>
    <n v="8"/>
    <n v="737.24"/>
    <n v="8064.16"/>
  </r>
  <r>
    <s v="ORD0099"/>
    <d v="2024-02-08T00:00:00"/>
    <x v="1"/>
    <x v="5"/>
    <x v="0"/>
    <s v="Headphones"/>
    <s v="Accessories"/>
    <s v="East"/>
    <n v="5112.42"/>
    <n v="10"/>
    <n v="460.23"/>
    <n v="4652.1900000000005"/>
  </r>
  <r>
    <s v="ORD0100"/>
    <d v="2023-05-19T00:00:00"/>
    <x v="0"/>
    <x v="8"/>
    <x v="2"/>
    <s v="Printer"/>
    <s v="Electronics"/>
    <s v="South"/>
    <n v="1558.06"/>
    <n v="8"/>
    <n v="161.75"/>
    <n v="1396.31"/>
  </r>
  <r>
    <s v="ORD0101"/>
    <d v="2024-04-10T00:00:00"/>
    <x v="1"/>
    <x v="3"/>
    <x v="2"/>
    <s v="Keyboard"/>
    <s v="Accessories"/>
    <s v="West"/>
    <n v="2467.4299999999998"/>
    <n v="6"/>
    <n v="283.25"/>
    <n v="2184.1799999999998"/>
  </r>
  <r>
    <s v="ORD0102"/>
    <d v="2023-09-16T00:00:00"/>
    <x v="0"/>
    <x v="6"/>
    <x v="1"/>
    <s v="Keyboard"/>
    <s v="Accessories"/>
    <s v="South"/>
    <n v="1082.8499999999999"/>
    <n v="2"/>
    <n v="386.84"/>
    <n v="696.01"/>
  </r>
  <r>
    <s v="ORD0103"/>
    <d v="2023-08-18T00:00:00"/>
    <x v="0"/>
    <x v="1"/>
    <x v="1"/>
    <s v="Laptop"/>
    <s v="Electronics"/>
    <s v="North"/>
    <n v="1712.74"/>
    <n v="2"/>
    <n v="629.36"/>
    <n v="1083.3800000000001"/>
  </r>
  <r>
    <s v="ORD0104"/>
    <d v="2023-07-24T00:00:00"/>
    <x v="0"/>
    <x v="2"/>
    <x v="1"/>
    <s v="Laptop"/>
    <s v="Electronics"/>
    <s v="West"/>
    <n v="603.26"/>
    <n v="1"/>
    <n v="504.64"/>
    <n v="98.62"/>
  </r>
  <r>
    <s v="ORD0105"/>
    <d v="2024-07-31T00:00:00"/>
    <x v="1"/>
    <x v="2"/>
    <x v="1"/>
    <s v="Monitor"/>
    <s v="Electronics"/>
    <s v="East"/>
    <n v="1840.93"/>
    <n v="4"/>
    <n v="382.73"/>
    <n v="1458.2"/>
  </r>
  <r>
    <s v="ORD0106"/>
    <d v="2024-09-12T00:00:00"/>
    <x v="1"/>
    <x v="6"/>
    <x v="1"/>
    <s v="Keyboard"/>
    <s v="Accessories"/>
    <s v="West"/>
    <n v="10706.26"/>
    <n v="10"/>
    <n v="771.71"/>
    <n v="9934.5499999999993"/>
  </r>
  <r>
    <s v="ORD0107"/>
    <d v="2023-04-21T00:00:00"/>
    <x v="0"/>
    <x v="3"/>
    <x v="2"/>
    <s v="Mouse"/>
    <s v="Accessories"/>
    <s v="North"/>
    <n v="490.28"/>
    <n v="10"/>
    <n v="40.03"/>
    <n v="450.25"/>
  </r>
  <r>
    <s v="ORD0108"/>
    <d v="2024-02-11T00:00:00"/>
    <x v="1"/>
    <x v="5"/>
    <x v="0"/>
    <s v="Printer"/>
    <s v="Electronics"/>
    <s v="South"/>
    <n v="436.44"/>
    <n v="4"/>
    <n v="79.28"/>
    <n v="357.15999999999997"/>
  </r>
  <r>
    <s v="ORD0109"/>
    <d v="2023-04-15T00:00:00"/>
    <x v="0"/>
    <x v="3"/>
    <x v="2"/>
    <s v="Printer"/>
    <s v="Electronics"/>
    <s v="West"/>
    <n v="4578.2"/>
    <n v="5"/>
    <n v="683.23"/>
    <n v="3894.97"/>
  </r>
  <r>
    <s v="ORD0110"/>
    <d v="2023-12-22T00:00:00"/>
    <x v="0"/>
    <x v="4"/>
    <x v="3"/>
    <s v="Laptop"/>
    <s v="Electronics"/>
    <s v="East"/>
    <n v="3978.32"/>
    <n v="9"/>
    <n v="354.13"/>
    <n v="3624.19"/>
  </r>
  <r>
    <s v="ORD0111"/>
    <d v="2023-01-13T00:00:00"/>
    <x v="0"/>
    <x v="0"/>
    <x v="0"/>
    <s v="Headphones"/>
    <s v="Accessories"/>
    <s v="North"/>
    <n v="5288.39"/>
    <n v="7"/>
    <n v="661.42"/>
    <n v="4626.97"/>
  </r>
  <r>
    <s v="ORD0112"/>
    <d v="2024-12-25T00:00:00"/>
    <x v="1"/>
    <x v="4"/>
    <x v="3"/>
    <s v="Keyboard"/>
    <s v="Accessories"/>
    <s v="South"/>
    <n v="1503.66"/>
    <n v="3"/>
    <n v="359.68"/>
    <n v="1143.98"/>
  </r>
  <r>
    <s v="ORD0113"/>
    <d v="2024-09-22T00:00:00"/>
    <x v="1"/>
    <x v="6"/>
    <x v="1"/>
    <s v="Printer"/>
    <s v="Electronics"/>
    <s v="North"/>
    <n v="7224.44"/>
    <n v="9"/>
    <n v="624.22"/>
    <n v="6600.2199999999993"/>
  </r>
  <r>
    <s v="ORD0114"/>
    <d v="2023-11-27T00:00:00"/>
    <x v="0"/>
    <x v="9"/>
    <x v="3"/>
    <s v="Printer"/>
    <s v="Electronics"/>
    <s v="North"/>
    <n v="3031.69"/>
    <n v="4"/>
    <n v="667.97"/>
    <n v="2363.7200000000003"/>
  </r>
  <r>
    <s v="ORD0115"/>
    <d v="2024-04-20T00:00:00"/>
    <x v="1"/>
    <x v="3"/>
    <x v="2"/>
    <s v="Monitor"/>
    <s v="Electronics"/>
    <s v="West"/>
    <n v="6208.67"/>
    <n v="10"/>
    <n v="496.06"/>
    <n v="5712.61"/>
  </r>
  <r>
    <s v="ORD0116"/>
    <d v="2023-11-29T00:00:00"/>
    <x v="0"/>
    <x v="9"/>
    <x v="3"/>
    <s v="Laptop"/>
    <s v="Electronics"/>
    <s v="South"/>
    <n v="1491.4"/>
    <n v="3"/>
    <n v="400.29"/>
    <n v="1091.1100000000001"/>
  </r>
  <r>
    <s v="ORD0117"/>
    <d v="2023-10-14T00:00:00"/>
    <x v="0"/>
    <x v="7"/>
    <x v="3"/>
    <s v="Keyboard"/>
    <s v="Accessories"/>
    <s v="North"/>
    <n v="6862.61"/>
    <n v="10"/>
    <n v="566.91999999999996"/>
    <n v="6295.69"/>
  </r>
  <r>
    <s v="ORD0118"/>
    <d v="2023-03-29T00:00:00"/>
    <x v="0"/>
    <x v="10"/>
    <x v="0"/>
    <s v="Laptop"/>
    <s v="Electronics"/>
    <s v="West"/>
    <n v="3014"/>
    <n v="4"/>
    <n v="581.66"/>
    <n v="2432.34"/>
  </r>
  <r>
    <s v="ORD0119"/>
    <d v="2024-10-23T00:00:00"/>
    <x v="1"/>
    <x v="7"/>
    <x v="3"/>
    <s v="Mouse"/>
    <s v="Accessories"/>
    <s v="South"/>
    <n v="3272.7"/>
    <n v="8"/>
    <n v="369.58"/>
    <n v="2903.12"/>
  </r>
  <r>
    <s v="ORD0120"/>
    <d v="2024-02-19T00:00:00"/>
    <x v="1"/>
    <x v="5"/>
    <x v="0"/>
    <s v="Keyboard"/>
    <s v="Accessories"/>
    <s v="West"/>
    <n v="1379.74"/>
    <n v="4"/>
    <n v="258.83999999999997"/>
    <n v="1120.9000000000001"/>
  </r>
  <r>
    <s v="ORD0121"/>
    <d v="2024-03-11T00:00:00"/>
    <x v="1"/>
    <x v="10"/>
    <x v="0"/>
    <s v="Monitor"/>
    <s v="Electronics"/>
    <s v="North"/>
    <n v="3455.87"/>
    <n v="9"/>
    <n v="278.02"/>
    <n v="3177.85"/>
  </r>
  <r>
    <s v="ORD0122"/>
    <d v="2023-09-15T00:00:00"/>
    <x v="0"/>
    <x v="6"/>
    <x v="1"/>
    <s v="Keyboard"/>
    <s v="Accessories"/>
    <s v="North"/>
    <n v="537.25"/>
    <n v="4"/>
    <n v="114.11"/>
    <n v="423.14"/>
  </r>
  <r>
    <s v="ORD0123"/>
    <d v="2023-07-16T00:00:00"/>
    <x v="0"/>
    <x v="2"/>
    <x v="1"/>
    <s v="Laptop"/>
    <s v="Electronics"/>
    <s v="West"/>
    <n v="2886.6"/>
    <n v="4"/>
    <n v="596.11"/>
    <n v="2290.4899999999998"/>
  </r>
  <r>
    <s v="ORD0124"/>
    <d v="2023-04-13T00:00:00"/>
    <x v="0"/>
    <x v="3"/>
    <x v="2"/>
    <s v="Headphones"/>
    <s v="Accessories"/>
    <s v="North"/>
    <n v="1249.68"/>
    <n v="4"/>
    <n v="251.07"/>
    <n v="998.61000000000013"/>
  </r>
  <r>
    <s v="ORD0125"/>
    <d v="2024-12-26T00:00:00"/>
    <x v="1"/>
    <x v="4"/>
    <x v="3"/>
    <s v="Keyboard"/>
    <s v="Accessories"/>
    <s v="East"/>
    <n v="1194.8800000000001"/>
    <n v="9"/>
    <n v="118.73"/>
    <n v="1076.1500000000001"/>
  </r>
  <r>
    <s v="ORD0126"/>
    <d v="2024-12-15T00:00:00"/>
    <x v="1"/>
    <x v="4"/>
    <x v="3"/>
    <s v="Laptop"/>
    <s v="Electronics"/>
    <s v="North"/>
    <n v="2175.4"/>
    <n v="3"/>
    <n v="517.54"/>
    <n v="1657.8600000000001"/>
  </r>
  <r>
    <s v="ORD0127"/>
    <d v="2024-08-10T00:00:00"/>
    <x v="1"/>
    <x v="1"/>
    <x v="1"/>
    <s v="Laptop"/>
    <s v="Electronics"/>
    <s v="East"/>
    <n v="2463.87"/>
    <n v="5"/>
    <n v="386.13"/>
    <n v="2077.7399999999998"/>
  </r>
  <r>
    <s v="ORD0128"/>
    <d v="2023-09-16T00:00:00"/>
    <x v="0"/>
    <x v="6"/>
    <x v="1"/>
    <s v="Mouse"/>
    <s v="Accessories"/>
    <s v="East"/>
    <n v="981.9"/>
    <n v="8"/>
    <n v="108.99"/>
    <n v="872.91"/>
  </r>
  <r>
    <s v="ORD0129"/>
    <d v="2024-08-13T00:00:00"/>
    <x v="1"/>
    <x v="1"/>
    <x v="1"/>
    <s v="Monitor"/>
    <s v="Electronics"/>
    <s v="East"/>
    <n v="197.07"/>
    <n v="1"/>
    <n v="138.35"/>
    <n v="58.72"/>
  </r>
  <r>
    <s v="ORD0130"/>
    <d v="2023-09-12T00:00:00"/>
    <x v="0"/>
    <x v="6"/>
    <x v="1"/>
    <s v="Keyboard"/>
    <s v="Accessories"/>
    <s v="East"/>
    <n v="1153.25"/>
    <n v="2"/>
    <n v="455.3"/>
    <n v="697.95"/>
  </r>
  <r>
    <s v="ORD0131"/>
    <d v="2024-06-19T00:00:00"/>
    <x v="1"/>
    <x v="11"/>
    <x v="2"/>
    <s v="Headphones"/>
    <s v="Accessories"/>
    <s v="West"/>
    <n v="3320.17"/>
    <n v="7"/>
    <n v="371.4"/>
    <n v="2948.77"/>
  </r>
  <r>
    <s v="ORD0132"/>
    <d v="2023-11-09T00:00:00"/>
    <x v="0"/>
    <x v="9"/>
    <x v="3"/>
    <s v="Headphones"/>
    <s v="Accessories"/>
    <s v="South"/>
    <n v="6778.39"/>
    <n v="10"/>
    <n v="504.4"/>
    <n v="6273.9900000000007"/>
  </r>
  <r>
    <s v="ORD0133"/>
    <d v="2023-08-01T00:00:00"/>
    <x v="0"/>
    <x v="1"/>
    <x v="1"/>
    <s v="Printer"/>
    <s v="Electronics"/>
    <s v="East"/>
    <n v="1025.6600000000001"/>
    <n v="4"/>
    <n v="226.42"/>
    <n v="799.24000000000012"/>
  </r>
  <r>
    <s v="ORD0134"/>
    <d v="2024-07-19T00:00:00"/>
    <x v="1"/>
    <x v="2"/>
    <x v="1"/>
    <s v="Mouse"/>
    <s v="Accessories"/>
    <s v="West"/>
    <n v="359.06"/>
    <n v="2"/>
    <n v="142.1"/>
    <n v="216.96"/>
  </r>
  <r>
    <s v="ORD0135"/>
    <d v="2023-10-26T00:00:00"/>
    <x v="0"/>
    <x v="7"/>
    <x v="3"/>
    <s v="Printer"/>
    <s v="Electronics"/>
    <s v="South"/>
    <n v="277.32"/>
    <n v="1"/>
    <n v="200.55"/>
    <n v="76.769999999999982"/>
  </r>
  <r>
    <s v="ORD0136"/>
    <d v="2023-03-14T00:00:00"/>
    <x v="0"/>
    <x v="10"/>
    <x v="0"/>
    <s v="Printer"/>
    <s v="Electronics"/>
    <s v="South"/>
    <n v="4192.47"/>
    <n v="4"/>
    <n v="740.65"/>
    <n v="3451.82"/>
  </r>
  <r>
    <s v="ORD0137"/>
    <d v="2024-03-11T00:00:00"/>
    <x v="1"/>
    <x v="10"/>
    <x v="0"/>
    <s v="Printer"/>
    <s v="Electronics"/>
    <s v="West"/>
    <n v="1208.9100000000001"/>
    <n v="2"/>
    <n v="444.76"/>
    <n v="764.15000000000009"/>
  </r>
  <r>
    <s v="ORD0138"/>
    <d v="2023-03-15T00:00:00"/>
    <x v="0"/>
    <x v="10"/>
    <x v="0"/>
    <s v="Keyboard"/>
    <s v="Accessories"/>
    <s v="West"/>
    <n v="182.75"/>
    <n v="1"/>
    <n v="149.41999999999999"/>
    <n v="33.330000000000013"/>
  </r>
  <r>
    <s v="ORD0139"/>
    <d v="2024-03-25T00:00:00"/>
    <x v="1"/>
    <x v="10"/>
    <x v="0"/>
    <s v="Printer"/>
    <s v="Electronics"/>
    <s v="North"/>
    <n v="942.08"/>
    <n v="2"/>
    <n v="385.58"/>
    <n v="556.5"/>
  </r>
  <r>
    <s v="ORD0140"/>
    <d v="2024-05-27T00:00:00"/>
    <x v="1"/>
    <x v="8"/>
    <x v="2"/>
    <s v="Monitor"/>
    <s v="Electronics"/>
    <s v="North"/>
    <n v="4128.41"/>
    <n v="9"/>
    <n v="405.16"/>
    <n v="3723.25"/>
  </r>
  <r>
    <s v="ORD0141"/>
    <d v="2023-11-27T00:00:00"/>
    <x v="0"/>
    <x v="9"/>
    <x v="3"/>
    <s v="Laptop"/>
    <s v="Electronics"/>
    <s v="South"/>
    <n v="2446.84"/>
    <n v="10"/>
    <n v="215.29"/>
    <n v="2231.5500000000002"/>
  </r>
  <r>
    <s v="ORD0142"/>
    <d v="2024-11-19T00:00:00"/>
    <x v="1"/>
    <x v="9"/>
    <x v="3"/>
    <s v="Printer"/>
    <s v="Electronics"/>
    <s v="East"/>
    <n v="3298.6"/>
    <n v="5"/>
    <n v="469.47"/>
    <n v="2829.13"/>
  </r>
  <r>
    <s v="ORD0143"/>
    <d v="2024-06-15T00:00:00"/>
    <x v="1"/>
    <x v="11"/>
    <x v="2"/>
    <s v="Mouse"/>
    <s v="Accessories"/>
    <s v="South"/>
    <n v="6890.55"/>
    <n v="8"/>
    <n v="734.54"/>
    <n v="6156.01"/>
  </r>
  <r>
    <s v="ORD0144"/>
    <d v="2024-10-12T00:00:00"/>
    <x v="1"/>
    <x v="7"/>
    <x v="3"/>
    <s v="Headphones"/>
    <s v="Accessories"/>
    <s v="South"/>
    <n v="7994.49"/>
    <n v="8"/>
    <n v="775.86"/>
    <n v="7218.63"/>
  </r>
  <r>
    <s v="ORD0145"/>
    <d v="2023-11-25T00:00:00"/>
    <x v="0"/>
    <x v="9"/>
    <x v="3"/>
    <s v="Monitor"/>
    <s v="Electronics"/>
    <s v="North"/>
    <n v="1697.66"/>
    <n v="2"/>
    <n v="689.03"/>
    <n v="1008.6300000000001"/>
  </r>
  <r>
    <s v="ORD0146"/>
    <d v="2023-10-23T00:00:00"/>
    <x v="0"/>
    <x v="7"/>
    <x v="3"/>
    <s v="Printer"/>
    <s v="Electronics"/>
    <s v="South"/>
    <n v="6048.5"/>
    <n v="7"/>
    <n v="654.58000000000004"/>
    <n v="5393.92"/>
  </r>
  <r>
    <s v="ORD0147"/>
    <d v="2023-11-19T00:00:00"/>
    <x v="0"/>
    <x v="9"/>
    <x v="3"/>
    <s v="Monitor"/>
    <s v="Electronics"/>
    <s v="East"/>
    <n v="2024.9"/>
    <n v="5"/>
    <n v="272.14999999999998"/>
    <n v="1752.75"/>
  </r>
  <r>
    <s v="ORD0148"/>
    <d v="2024-11-04T00:00:00"/>
    <x v="1"/>
    <x v="9"/>
    <x v="3"/>
    <s v="Monitor"/>
    <s v="Electronics"/>
    <s v="East"/>
    <n v="3839.58"/>
    <n v="9"/>
    <n v="380.34"/>
    <n v="3459.24"/>
  </r>
  <r>
    <s v="ORD0149"/>
    <d v="2024-09-29T00:00:00"/>
    <x v="1"/>
    <x v="6"/>
    <x v="1"/>
    <s v="Headphones"/>
    <s v="Accessories"/>
    <s v="North"/>
    <n v="5703.82"/>
    <n v="8"/>
    <n v="507.82"/>
    <n v="5196"/>
  </r>
  <r>
    <s v="ORD0150"/>
    <d v="2024-07-16T00:00:00"/>
    <x v="1"/>
    <x v="2"/>
    <x v="1"/>
    <s v="Mouse"/>
    <s v="Accessories"/>
    <s v="North"/>
    <n v="2844.74"/>
    <n v="3"/>
    <n v="743.58"/>
    <n v="2101.16"/>
  </r>
  <r>
    <s v="ORD0151"/>
    <d v="2023-05-05T00:00:00"/>
    <x v="0"/>
    <x v="8"/>
    <x v="2"/>
    <s v="Printer"/>
    <s v="Electronics"/>
    <s v="South"/>
    <n v="1046.69"/>
    <n v="1"/>
    <n v="779.05"/>
    <n v="267.6400000000001"/>
  </r>
  <r>
    <s v="ORD0152"/>
    <d v="2023-11-15T00:00:00"/>
    <x v="0"/>
    <x v="9"/>
    <x v="3"/>
    <s v="Mouse"/>
    <s v="Accessories"/>
    <s v="West"/>
    <n v="348.68"/>
    <n v="9"/>
    <n v="30.67"/>
    <n v="318.01"/>
  </r>
  <r>
    <s v="ORD0153"/>
    <d v="2024-04-17T00:00:00"/>
    <x v="1"/>
    <x v="3"/>
    <x v="2"/>
    <s v="Mouse"/>
    <s v="Accessories"/>
    <s v="East"/>
    <n v="1220.1600000000001"/>
    <n v="2"/>
    <n v="525.21"/>
    <n v="694.95"/>
  </r>
  <r>
    <s v="ORD0154"/>
    <d v="2024-06-05T00:00:00"/>
    <x v="1"/>
    <x v="11"/>
    <x v="2"/>
    <s v="Printer"/>
    <s v="Electronics"/>
    <s v="North"/>
    <n v="2224.48"/>
    <n v="5"/>
    <n v="344.08"/>
    <n v="1880.4"/>
  </r>
  <r>
    <s v="ORD0155"/>
    <d v="2024-04-12T00:00:00"/>
    <x v="1"/>
    <x v="3"/>
    <x v="2"/>
    <s v="Monitor"/>
    <s v="Electronics"/>
    <s v="West"/>
    <n v="1406.06"/>
    <n v="9"/>
    <n v="132.82"/>
    <n v="1273.24"/>
  </r>
  <r>
    <s v="ORD0156"/>
    <d v="2023-03-13T00:00:00"/>
    <x v="0"/>
    <x v="10"/>
    <x v="0"/>
    <s v="Headphones"/>
    <s v="Accessories"/>
    <s v="West"/>
    <n v="4488.8599999999997"/>
    <n v="5"/>
    <n v="622.69000000000005"/>
    <n v="3866.1699999999996"/>
  </r>
  <r>
    <s v="ORD0157"/>
    <d v="2023-01-03T00:00:00"/>
    <x v="0"/>
    <x v="0"/>
    <x v="0"/>
    <s v="Keyboard"/>
    <s v="Accessories"/>
    <s v="North"/>
    <n v="4206.82"/>
    <n v="5"/>
    <n v="586.32000000000005"/>
    <n v="3620.4999999999995"/>
  </r>
  <r>
    <s v="ORD0158"/>
    <d v="2023-06-02T00:00:00"/>
    <x v="0"/>
    <x v="11"/>
    <x v="2"/>
    <s v="Headphones"/>
    <s v="Accessories"/>
    <s v="South"/>
    <n v="4358.83"/>
    <n v="8"/>
    <n v="440.09"/>
    <n v="3918.74"/>
  </r>
  <r>
    <s v="ORD0159"/>
    <d v="2024-04-11T00:00:00"/>
    <x v="1"/>
    <x v="3"/>
    <x v="2"/>
    <s v="Headphones"/>
    <s v="Accessories"/>
    <s v="South"/>
    <n v="6252.39"/>
    <n v="6"/>
    <n v="698.29"/>
    <n v="5554.1"/>
  </r>
  <r>
    <s v="ORD0160"/>
    <d v="2023-08-28T00:00:00"/>
    <x v="0"/>
    <x v="1"/>
    <x v="1"/>
    <s v="Mouse"/>
    <s v="Accessories"/>
    <s v="South"/>
    <n v="528.79"/>
    <n v="7"/>
    <n v="54.04"/>
    <n v="474.74999999999994"/>
  </r>
  <r>
    <s v="ORD0161"/>
    <d v="2024-01-31T00:00:00"/>
    <x v="1"/>
    <x v="0"/>
    <x v="0"/>
    <s v="Printer"/>
    <s v="Electronics"/>
    <s v="South"/>
    <n v="1359.04"/>
    <n v="3"/>
    <n v="406.36"/>
    <n v="952.68"/>
  </r>
  <r>
    <s v="ORD0162"/>
    <d v="2023-04-13T00:00:00"/>
    <x v="0"/>
    <x v="3"/>
    <x v="2"/>
    <s v="Headphones"/>
    <s v="Accessories"/>
    <s v="North"/>
    <n v="1145.3399999999999"/>
    <n v="8"/>
    <n v="97.78"/>
    <n v="1047.56"/>
  </r>
  <r>
    <s v="ORD0163"/>
    <d v="2024-02-24T00:00:00"/>
    <x v="1"/>
    <x v="5"/>
    <x v="0"/>
    <s v="Laptop"/>
    <s v="Electronics"/>
    <s v="West"/>
    <n v="332.12"/>
    <n v="3"/>
    <n v="78.37"/>
    <n v="253.75"/>
  </r>
  <r>
    <s v="ORD0164"/>
    <d v="2024-09-30T00:00:00"/>
    <x v="1"/>
    <x v="6"/>
    <x v="1"/>
    <s v="Keyboard"/>
    <s v="Accessories"/>
    <s v="North"/>
    <n v="5313.45"/>
    <n v="7"/>
    <n v="526.87"/>
    <n v="4786.58"/>
  </r>
  <r>
    <s v="ORD0165"/>
    <d v="2023-11-21T00:00:00"/>
    <x v="0"/>
    <x v="9"/>
    <x v="3"/>
    <s v="Printer"/>
    <s v="Electronics"/>
    <s v="South"/>
    <n v="6244.51"/>
    <n v="8"/>
    <n v="700.46"/>
    <n v="5544.05"/>
  </r>
  <r>
    <s v="ORD0166"/>
    <d v="2024-10-08T00:00:00"/>
    <x v="1"/>
    <x v="7"/>
    <x v="3"/>
    <s v="Laptop"/>
    <s v="Electronics"/>
    <s v="West"/>
    <n v="5580.77"/>
    <n v="5"/>
    <n v="797.99"/>
    <n v="4782.7800000000007"/>
  </r>
  <r>
    <s v="ORD0167"/>
    <d v="2024-10-10T00:00:00"/>
    <x v="1"/>
    <x v="7"/>
    <x v="3"/>
    <s v="Monitor"/>
    <s v="Electronics"/>
    <s v="East"/>
    <n v="1008.6"/>
    <n v="2"/>
    <n v="366.07"/>
    <n v="642.53"/>
  </r>
  <r>
    <s v="ORD0168"/>
    <d v="2023-11-29T00:00:00"/>
    <x v="0"/>
    <x v="9"/>
    <x v="3"/>
    <s v="Laptop"/>
    <s v="Electronics"/>
    <s v="East"/>
    <n v="311.02"/>
    <n v="1"/>
    <n v="248.83"/>
    <n v="62.189999999999969"/>
  </r>
  <r>
    <s v="ORD0169"/>
    <d v="2024-06-27T00:00:00"/>
    <x v="1"/>
    <x v="11"/>
    <x v="2"/>
    <s v="Mouse"/>
    <s v="Accessories"/>
    <s v="West"/>
    <n v="4576.8500000000004"/>
    <n v="7"/>
    <n v="461.42"/>
    <n v="4115.43"/>
  </r>
  <r>
    <s v="ORD0170"/>
    <d v="2023-03-22T00:00:00"/>
    <x v="0"/>
    <x v="10"/>
    <x v="0"/>
    <s v="Mouse"/>
    <s v="Accessories"/>
    <s v="West"/>
    <n v="9425.08"/>
    <n v="10"/>
    <n v="699.25"/>
    <n v="8725.83"/>
  </r>
  <r>
    <s v="ORD0171"/>
    <d v="2024-08-20T00:00:00"/>
    <x v="1"/>
    <x v="1"/>
    <x v="1"/>
    <s v="Mouse"/>
    <s v="Accessories"/>
    <s v="South"/>
    <n v="817.61"/>
    <n v="3"/>
    <n v="201.11"/>
    <n v="616.5"/>
  </r>
  <r>
    <s v="ORD0172"/>
    <d v="2024-11-13T00:00:00"/>
    <x v="1"/>
    <x v="9"/>
    <x v="3"/>
    <s v="Monitor"/>
    <s v="Electronics"/>
    <s v="North"/>
    <n v="927.47"/>
    <n v="1"/>
    <n v="721.15"/>
    <n v="206.32000000000005"/>
  </r>
  <r>
    <s v="ORD0173"/>
    <d v="2023-03-17T00:00:00"/>
    <x v="0"/>
    <x v="10"/>
    <x v="0"/>
    <s v="Keyboard"/>
    <s v="Accessories"/>
    <s v="West"/>
    <n v="9057.44"/>
    <n v="8"/>
    <n v="757.28"/>
    <n v="8300.16"/>
  </r>
  <r>
    <s v="ORD0174"/>
    <d v="2024-12-07T00:00:00"/>
    <x v="1"/>
    <x v="4"/>
    <x v="3"/>
    <s v="Keyboard"/>
    <s v="Accessories"/>
    <s v="South"/>
    <n v="2297.21"/>
    <n v="5"/>
    <n v="376.33"/>
    <n v="1920.88"/>
  </r>
  <r>
    <s v="ORD0175"/>
    <d v="2023-04-20T00:00:00"/>
    <x v="0"/>
    <x v="3"/>
    <x v="2"/>
    <s v="Monitor"/>
    <s v="Electronics"/>
    <s v="South"/>
    <n v="1579.15"/>
    <n v="4"/>
    <n v="317.45999999999998"/>
    <n v="1261.69"/>
  </r>
  <r>
    <s v="ORD0176"/>
    <d v="2023-01-23T00:00:00"/>
    <x v="0"/>
    <x v="0"/>
    <x v="0"/>
    <s v="Keyboard"/>
    <s v="Accessories"/>
    <s v="North"/>
    <n v="2173.4299999999998"/>
    <n v="7"/>
    <n v="234.09"/>
    <n v="1939.34"/>
  </r>
  <r>
    <s v="ORD0177"/>
    <d v="2024-09-12T00:00:00"/>
    <x v="1"/>
    <x v="6"/>
    <x v="1"/>
    <s v="Printer"/>
    <s v="Electronics"/>
    <s v="East"/>
    <n v="7827.33"/>
    <n v="8"/>
    <n v="669.61"/>
    <n v="7157.72"/>
  </r>
  <r>
    <s v="ORD0178"/>
    <d v="2023-08-13T00:00:00"/>
    <x v="0"/>
    <x v="1"/>
    <x v="1"/>
    <s v="Mouse"/>
    <s v="Accessories"/>
    <s v="North"/>
    <n v="2765.79"/>
    <n v="4"/>
    <n v="504.3"/>
    <n v="2261.4899999999998"/>
  </r>
  <r>
    <s v="ORD0179"/>
    <d v="2024-10-05T00:00:00"/>
    <x v="1"/>
    <x v="7"/>
    <x v="3"/>
    <s v="Printer"/>
    <s v="Electronics"/>
    <s v="West"/>
    <n v="1968.93"/>
    <n v="2"/>
    <n v="724.65"/>
    <n v="1244.2800000000002"/>
  </r>
  <r>
    <s v="ORD0180"/>
    <d v="2023-02-04T00:00:00"/>
    <x v="0"/>
    <x v="5"/>
    <x v="0"/>
    <s v="Keyboard"/>
    <s v="Accessories"/>
    <s v="South"/>
    <n v="3510.6"/>
    <n v="10"/>
    <n v="304.58999999999997"/>
    <n v="3206.0099999999998"/>
  </r>
  <r>
    <s v="ORD0181"/>
    <d v="2024-03-01T00:00:00"/>
    <x v="1"/>
    <x v="10"/>
    <x v="0"/>
    <s v="Keyboard"/>
    <s v="Accessories"/>
    <s v="North"/>
    <n v="749.54"/>
    <n v="3"/>
    <n v="176.62"/>
    <n v="572.91999999999996"/>
  </r>
  <r>
    <s v="ORD0182"/>
    <d v="2023-06-18T00:00:00"/>
    <x v="0"/>
    <x v="11"/>
    <x v="2"/>
    <s v="Keyboard"/>
    <s v="Accessories"/>
    <s v="North"/>
    <n v="5415.38"/>
    <n v="5"/>
    <n v="732.96"/>
    <n v="4682.42"/>
  </r>
  <r>
    <s v="ORD0183"/>
    <d v="2023-04-28T00:00:00"/>
    <x v="0"/>
    <x v="3"/>
    <x v="2"/>
    <s v="Keyboard"/>
    <s v="Accessories"/>
    <s v="North"/>
    <n v="7132.63"/>
    <n v="8"/>
    <n v="771.06"/>
    <n v="6361.57"/>
  </r>
  <r>
    <s v="ORD0184"/>
    <d v="2024-07-24T00:00:00"/>
    <x v="1"/>
    <x v="2"/>
    <x v="1"/>
    <s v="Mouse"/>
    <s v="Accessories"/>
    <s v="South"/>
    <n v="682.55"/>
    <n v="6"/>
    <n v="90.44"/>
    <n v="592.1099999999999"/>
  </r>
  <r>
    <s v="ORD0185"/>
    <d v="2024-04-10T00:00:00"/>
    <x v="1"/>
    <x v="3"/>
    <x v="2"/>
    <s v="Keyboard"/>
    <s v="Accessories"/>
    <s v="East"/>
    <n v="4474.8599999999997"/>
    <n v="6"/>
    <n v="544.80999999999995"/>
    <n v="3930.0499999999997"/>
  </r>
  <r>
    <s v="ORD0186"/>
    <d v="2024-10-15T00:00:00"/>
    <x v="1"/>
    <x v="7"/>
    <x v="3"/>
    <s v="Headphones"/>
    <s v="Accessories"/>
    <s v="South"/>
    <n v="748.41"/>
    <n v="6"/>
    <n v="104.51"/>
    <n v="643.9"/>
  </r>
  <r>
    <s v="ORD0187"/>
    <d v="2024-09-16T00:00:00"/>
    <x v="1"/>
    <x v="6"/>
    <x v="1"/>
    <s v="Laptop"/>
    <s v="Electronics"/>
    <s v="North"/>
    <n v="2844.66"/>
    <n v="4"/>
    <n v="525.16999999999996"/>
    <n v="2319.4899999999998"/>
  </r>
  <r>
    <s v="ORD0188"/>
    <d v="2024-10-26T00:00:00"/>
    <x v="1"/>
    <x v="7"/>
    <x v="3"/>
    <s v="Monitor"/>
    <s v="Electronics"/>
    <s v="North"/>
    <n v="868.87"/>
    <n v="7"/>
    <n v="111.01"/>
    <n v="757.86"/>
  </r>
  <r>
    <s v="ORD0189"/>
    <d v="2024-05-19T00:00:00"/>
    <x v="1"/>
    <x v="8"/>
    <x v="2"/>
    <s v="Laptop"/>
    <s v="Electronics"/>
    <s v="North"/>
    <n v="278.79000000000002"/>
    <n v="2"/>
    <n v="95.81"/>
    <n v="182.98000000000002"/>
  </r>
  <r>
    <s v="ORD0190"/>
    <d v="2024-04-09T00:00:00"/>
    <x v="1"/>
    <x v="3"/>
    <x v="2"/>
    <s v="Mouse"/>
    <s v="Accessories"/>
    <s v="South"/>
    <n v="4552.09"/>
    <n v="6"/>
    <n v="542.98"/>
    <n v="4009.11"/>
  </r>
  <r>
    <s v="ORD0191"/>
    <d v="2024-08-24T00:00:00"/>
    <x v="1"/>
    <x v="1"/>
    <x v="1"/>
    <s v="Headphones"/>
    <s v="Accessories"/>
    <s v="South"/>
    <n v="2903.53"/>
    <n v="3"/>
    <n v="710.62"/>
    <n v="2192.9100000000003"/>
  </r>
  <r>
    <s v="ORD0192"/>
    <d v="2023-10-14T00:00:00"/>
    <x v="0"/>
    <x v="7"/>
    <x v="3"/>
    <s v="Monitor"/>
    <s v="Electronics"/>
    <s v="South"/>
    <n v="662.79"/>
    <n v="1"/>
    <n v="558.41999999999996"/>
    <n v="104.37"/>
  </r>
  <r>
    <s v="ORD0193"/>
    <d v="2024-01-07T00:00:00"/>
    <x v="1"/>
    <x v="0"/>
    <x v="0"/>
    <s v="Monitor"/>
    <s v="Electronics"/>
    <s v="West"/>
    <n v="1957.99"/>
    <n v="2"/>
    <n v="785.12"/>
    <n v="1172.8699999999999"/>
  </r>
  <r>
    <s v="ORD0194"/>
    <d v="2023-03-04T00:00:00"/>
    <x v="0"/>
    <x v="10"/>
    <x v="0"/>
    <s v="Printer"/>
    <s v="Electronics"/>
    <s v="North"/>
    <n v="2448.56"/>
    <n v="7"/>
    <n v="235.19"/>
    <n v="2213.37"/>
  </r>
  <r>
    <s v="ORD0195"/>
    <d v="2024-11-09T00:00:00"/>
    <x v="1"/>
    <x v="9"/>
    <x v="3"/>
    <s v="Monitor"/>
    <s v="Electronics"/>
    <s v="East"/>
    <n v="2787.66"/>
    <n v="4"/>
    <n v="520.53"/>
    <n v="2267.13"/>
  </r>
  <r>
    <s v="ORD0196"/>
    <d v="2023-12-08T00:00:00"/>
    <x v="0"/>
    <x v="4"/>
    <x v="3"/>
    <s v="Laptop"/>
    <s v="Electronics"/>
    <s v="East"/>
    <n v="4477.9799999999996"/>
    <n v="4"/>
    <n v="791.28"/>
    <n v="3686.7"/>
  </r>
  <r>
    <s v="ORD0197"/>
    <d v="2024-07-21T00:00:00"/>
    <x v="1"/>
    <x v="2"/>
    <x v="1"/>
    <s v="Mouse"/>
    <s v="Accessories"/>
    <s v="East"/>
    <n v="2721.49"/>
    <n v="4"/>
    <n v="477.38"/>
    <n v="2244.1099999999997"/>
  </r>
  <r>
    <s v="ORD0198"/>
    <d v="2023-06-01T00:00:00"/>
    <x v="0"/>
    <x v="11"/>
    <x v="2"/>
    <s v="Mouse"/>
    <s v="Accessories"/>
    <s v="North"/>
    <n v="320.57"/>
    <n v="10"/>
    <n v="22.21"/>
    <n v="298.36"/>
  </r>
  <r>
    <s v="ORD0199"/>
    <d v="2024-07-07T00:00:00"/>
    <x v="1"/>
    <x v="2"/>
    <x v="1"/>
    <s v="Mouse"/>
    <s v="Accessories"/>
    <s v="West"/>
    <n v="3676.95"/>
    <n v="5"/>
    <n v="642.84"/>
    <n v="3034.1099999999997"/>
  </r>
  <r>
    <s v="ORD0200"/>
    <d v="2023-01-16T00:00:00"/>
    <x v="0"/>
    <x v="0"/>
    <x v="0"/>
    <s v="Laptop"/>
    <s v="Electronics"/>
    <s v="West"/>
    <n v="4562.1400000000003"/>
    <n v="6"/>
    <n v="636.19000000000005"/>
    <n v="3925.9500000000003"/>
  </r>
  <r>
    <s v="ORD0201"/>
    <d v="2023-06-28T00:00:00"/>
    <x v="0"/>
    <x v="11"/>
    <x v="2"/>
    <s v="Keyboard"/>
    <s v="Accessories"/>
    <s v="East"/>
    <n v="425.08"/>
    <n v="5"/>
    <n v="60.87"/>
    <n v="364.21"/>
  </r>
  <r>
    <s v="ORD0202"/>
    <d v="2023-03-07T00:00:00"/>
    <x v="0"/>
    <x v="10"/>
    <x v="0"/>
    <s v="Headphones"/>
    <s v="Accessories"/>
    <s v="East"/>
    <n v="3681.17"/>
    <n v="8"/>
    <n v="369.65"/>
    <n v="3311.52"/>
  </r>
  <r>
    <s v="ORD0203"/>
    <d v="2024-04-07T00:00:00"/>
    <x v="1"/>
    <x v="3"/>
    <x v="2"/>
    <s v="Headphones"/>
    <s v="Accessories"/>
    <s v="East"/>
    <n v="2335.77"/>
    <n v="9"/>
    <n v="192.81"/>
    <n v="2142.96"/>
  </r>
  <r>
    <s v="ORD0204"/>
    <d v="2024-04-14T00:00:00"/>
    <x v="1"/>
    <x v="3"/>
    <x v="2"/>
    <s v="Printer"/>
    <s v="Electronics"/>
    <s v="North"/>
    <n v="87.11"/>
    <n v="1"/>
    <n v="67.44"/>
    <n v="19.670000000000002"/>
  </r>
  <r>
    <s v="ORD0205"/>
    <d v="2024-12-03T00:00:00"/>
    <x v="1"/>
    <x v="4"/>
    <x v="3"/>
    <s v="Monitor"/>
    <s v="Electronics"/>
    <s v="South"/>
    <n v="1178.1600000000001"/>
    <n v="2"/>
    <n v="402.41"/>
    <n v="775.75"/>
  </r>
  <r>
    <s v="ORD0206"/>
    <d v="2023-11-26T00:00:00"/>
    <x v="0"/>
    <x v="9"/>
    <x v="3"/>
    <s v="Laptop"/>
    <s v="Electronics"/>
    <s v="East"/>
    <n v="1561.2"/>
    <n v="10"/>
    <n v="135.69999999999999"/>
    <n v="1425.5"/>
  </r>
  <r>
    <s v="ORD0207"/>
    <d v="2024-01-26T00:00:00"/>
    <x v="1"/>
    <x v="0"/>
    <x v="0"/>
    <s v="Headphones"/>
    <s v="Accessories"/>
    <s v="North"/>
    <n v="5559.47"/>
    <n v="10"/>
    <n v="433.83"/>
    <n v="5125.6400000000003"/>
  </r>
  <r>
    <s v="ORD0208"/>
    <d v="2023-04-12T00:00:00"/>
    <x v="0"/>
    <x v="3"/>
    <x v="2"/>
    <s v="Headphones"/>
    <s v="Accessories"/>
    <s v="South"/>
    <n v="1864.19"/>
    <n v="2"/>
    <n v="685.18"/>
    <n v="1179.0100000000002"/>
  </r>
  <r>
    <s v="ORD0209"/>
    <d v="2024-03-16T00:00:00"/>
    <x v="1"/>
    <x v="10"/>
    <x v="0"/>
    <s v="Headphones"/>
    <s v="Accessories"/>
    <s v="West"/>
    <n v="7215.62"/>
    <n v="8"/>
    <n v="712.71"/>
    <n v="6502.91"/>
  </r>
  <r>
    <s v="ORD0210"/>
    <d v="2024-03-01T00:00:00"/>
    <x v="1"/>
    <x v="10"/>
    <x v="0"/>
    <s v="Monitor"/>
    <s v="Electronics"/>
    <s v="South"/>
    <n v="646.29"/>
    <n v="2"/>
    <n v="263.79000000000002"/>
    <n v="382.49999999999994"/>
  </r>
  <r>
    <s v="ORD0211"/>
    <d v="2023-06-06T00:00:00"/>
    <x v="0"/>
    <x v="11"/>
    <x v="2"/>
    <s v="Keyboard"/>
    <s v="Accessories"/>
    <s v="North"/>
    <n v="829.37"/>
    <n v="8"/>
    <n v="72.36"/>
    <n v="757.01"/>
  </r>
  <r>
    <s v="ORD0212"/>
    <d v="2023-04-09T00:00:00"/>
    <x v="0"/>
    <x v="3"/>
    <x v="2"/>
    <s v="Laptop"/>
    <s v="Electronics"/>
    <s v="South"/>
    <n v="5183.17"/>
    <n v="6"/>
    <n v="653.17999999999995"/>
    <n v="4529.99"/>
  </r>
  <r>
    <s v="ORD0213"/>
    <d v="2024-11-17T00:00:00"/>
    <x v="1"/>
    <x v="9"/>
    <x v="3"/>
    <s v="Headphones"/>
    <s v="Accessories"/>
    <s v="North"/>
    <n v="986.87"/>
    <n v="2"/>
    <n v="340.43"/>
    <n v="646.44000000000005"/>
  </r>
  <r>
    <s v="ORD0214"/>
    <d v="2023-10-22T00:00:00"/>
    <x v="0"/>
    <x v="7"/>
    <x v="3"/>
    <s v="Monitor"/>
    <s v="Electronics"/>
    <s v="East"/>
    <n v="3010.09"/>
    <n v="10"/>
    <n v="263.70999999999998"/>
    <n v="2746.38"/>
  </r>
  <r>
    <s v="ORD0215"/>
    <d v="2023-06-08T00:00:00"/>
    <x v="0"/>
    <x v="11"/>
    <x v="2"/>
    <s v="Headphones"/>
    <s v="Accessories"/>
    <s v="West"/>
    <n v="1782.71"/>
    <n v="8"/>
    <n v="194.91"/>
    <n v="1587.8"/>
  </r>
  <r>
    <s v="ORD0216"/>
    <d v="2023-04-28T00:00:00"/>
    <x v="0"/>
    <x v="3"/>
    <x v="2"/>
    <s v="Headphones"/>
    <s v="Accessories"/>
    <s v="North"/>
    <n v="3328.14"/>
    <n v="5"/>
    <n v="467.8"/>
    <n v="2860.3399999999997"/>
  </r>
  <r>
    <s v="ORD0217"/>
    <d v="2024-09-15T00:00:00"/>
    <x v="1"/>
    <x v="6"/>
    <x v="1"/>
    <s v="Headphones"/>
    <s v="Accessories"/>
    <s v="East"/>
    <n v="257.45999999999998"/>
    <n v="5"/>
    <n v="42.58"/>
    <n v="214.88"/>
  </r>
  <r>
    <s v="ORD0218"/>
    <d v="2023-12-26T00:00:00"/>
    <x v="0"/>
    <x v="4"/>
    <x v="3"/>
    <s v="Keyboard"/>
    <s v="Accessories"/>
    <s v="North"/>
    <n v="186.9"/>
    <n v="1"/>
    <n v="161.5"/>
    <n v="25.400000000000006"/>
  </r>
  <r>
    <s v="ORD0219"/>
    <d v="2023-03-13T00:00:00"/>
    <x v="0"/>
    <x v="10"/>
    <x v="0"/>
    <s v="Printer"/>
    <s v="Electronics"/>
    <s v="South"/>
    <n v="2670.59"/>
    <n v="3"/>
    <n v="597.96"/>
    <n v="2072.63"/>
  </r>
  <r>
    <s v="ORD0220"/>
    <d v="2024-01-21T00:00:00"/>
    <x v="1"/>
    <x v="0"/>
    <x v="0"/>
    <s v="Laptop"/>
    <s v="Electronics"/>
    <s v="West"/>
    <n v="3043.34"/>
    <n v="7"/>
    <n v="373.84"/>
    <n v="2669.5"/>
  </r>
  <r>
    <s v="ORD0221"/>
    <d v="2024-08-04T00:00:00"/>
    <x v="1"/>
    <x v="1"/>
    <x v="1"/>
    <s v="Keyboard"/>
    <s v="Accessories"/>
    <s v="North"/>
    <n v="967.12"/>
    <n v="10"/>
    <n v="86.27"/>
    <n v="880.85"/>
  </r>
  <r>
    <s v="ORD0222"/>
    <d v="2024-11-21T00:00:00"/>
    <x v="1"/>
    <x v="9"/>
    <x v="3"/>
    <s v="Mouse"/>
    <s v="Accessories"/>
    <s v="East"/>
    <n v="633.91"/>
    <n v="2"/>
    <n v="232.24"/>
    <n v="401.66999999999996"/>
  </r>
  <r>
    <s v="ORD0223"/>
    <d v="2024-02-29T00:00:00"/>
    <x v="1"/>
    <x v="5"/>
    <x v="0"/>
    <s v="Monitor"/>
    <s v="Electronics"/>
    <s v="South"/>
    <n v="1227.56"/>
    <n v="5"/>
    <n v="188.14"/>
    <n v="1039.42"/>
  </r>
  <r>
    <s v="ORD0224"/>
    <d v="2023-04-24T00:00:00"/>
    <x v="0"/>
    <x v="3"/>
    <x v="2"/>
    <s v="Keyboard"/>
    <s v="Accessories"/>
    <s v="South"/>
    <n v="3670.83"/>
    <n v="5"/>
    <n v="549.01"/>
    <n v="3121.8199999999997"/>
  </r>
  <r>
    <s v="ORD0225"/>
    <d v="2023-02-16T00:00:00"/>
    <x v="0"/>
    <x v="5"/>
    <x v="0"/>
    <s v="Headphones"/>
    <s v="Accessories"/>
    <s v="North"/>
    <n v="1759.39"/>
    <n v="4"/>
    <n v="328.31"/>
    <n v="1431.0800000000002"/>
  </r>
  <r>
    <s v="ORD0226"/>
    <d v="2023-11-05T00:00:00"/>
    <x v="0"/>
    <x v="9"/>
    <x v="3"/>
    <s v="Laptop"/>
    <s v="Electronics"/>
    <s v="West"/>
    <n v="3477.78"/>
    <n v="4"/>
    <n v="618.53"/>
    <n v="2859.25"/>
  </r>
  <r>
    <s v="ORD0227"/>
    <d v="2023-05-03T00:00:00"/>
    <x v="0"/>
    <x v="8"/>
    <x v="2"/>
    <s v="Keyboard"/>
    <s v="Accessories"/>
    <s v="North"/>
    <n v="519.03"/>
    <n v="1"/>
    <n v="407.96"/>
    <n v="111.07"/>
  </r>
  <r>
    <s v="ORD0228"/>
    <d v="2024-06-29T00:00:00"/>
    <x v="1"/>
    <x v="11"/>
    <x v="2"/>
    <s v="Mouse"/>
    <s v="Accessories"/>
    <s v="South"/>
    <n v="2351.83"/>
    <n v="4"/>
    <n v="410.2"/>
    <n v="1941.6299999999999"/>
  </r>
  <r>
    <s v="ORD0229"/>
    <d v="2024-02-11T00:00:00"/>
    <x v="1"/>
    <x v="5"/>
    <x v="0"/>
    <s v="Keyboard"/>
    <s v="Accessories"/>
    <s v="East"/>
    <n v="462.53"/>
    <n v="1"/>
    <n v="360.25"/>
    <n v="102.27999999999997"/>
  </r>
  <r>
    <s v="ORD0230"/>
    <d v="2024-08-12T00:00:00"/>
    <x v="1"/>
    <x v="1"/>
    <x v="1"/>
    <s v="Laptop"/>
    <s v="Electronics"/>
    <s v="North"/>
    <n v="4526.0600000000004"/>
    <n v="7"/>
    <n v="467.25"/>
    <n v="4058.8100000000004"/>
  </r>
  <r>
    <s v="ORD0231"/>
    <d v="2023-04-28T00:00:00"/>
    <x v="0"/>
    <x v="3"/>
    <x v="2"/>
    <s v="Monitor"/>
    <s v="Electronics"/>
    <s v="North"/>
    <n v="312.26"/>
    <n v="7"/>
    <n v="36.270000000000003"/>
    <n v="275.99"/>
  </r>
  <r>
    <s v="ORD0232"/>
    <d v="2024-12-07T00:00:00"/>
    <x v="1"/>
    <x v="4"/>
    <x v="3"/>
    <s v="Headphones"/>
    <s v="Accessories"/>
    <s v="South"/>
    <n v="765.54"/>
    <n v="6"/>
    <n v="88.74"/>
    <n v="676.8"/>
  </r>
  <r>
    <s v="ORD0233"/>
    <d v="2024-08-26T00:00:00"/>
    <x v="1"/>
    <x v="1"/>
    <x v="1"/>
    <s v="Mouse"/>
    <s v="Accessories"/>
    <s v="South"/>
    <n v="3775.96"/>
    <n v="7"/>
    <n v="428.69"/>
    <n v="3347.27"/>
  </r>
  <r>
    <s v="ORD0234"/>
    <d v="2023-08-15T00:00:00"/>
    <x v="0"/>
    <x v="1"/>
    <x v="1"/>
    <s v="Keyboard"/>
    <s v="Accessories"/>
    <s v="North"/>
    <n v="4257.95"/>
    <n v="6"/>
    <n v="627.71"/>
    <n v="3630.24"/>
  </r>
  <r>
    <s v="ORD0235"/>
    <d v="2024-06-27T00:00:00"/>
    <x v="1"/>
    <x v="11"/>
    <x v="2"/>
    <s v="Printer"/>
    <s v="Electronics"/>
    <s v="East"/>
    <n v="2173.79"/>
    <n v="9"/>
    <n v="171.24"/>
    <n v="2002.55"/>
  </r>
  <r>
    <s v="ORD0236"/>
    <d v="2023-08-30T00:00:00"/>
    <x v="0"/>
    <x v="1"/>
    <x v="1"/>
    <s v="Keyboard"/>
    <s v="Accessories"/>
    <s v="West"/>
    <n v="316.49"/>
    <n v="2"/>
    <n v="134.22999999999999"/>
    <n v="182.26000000000002"/>
  </r>
  <r>
    <s v="ORD0237"/>
    <d v="2024-11-02T00:00:00"/>
    <x v="1"/>
    <x v="9"/>
    <x v="3"/>
    <s v="Headphones"/>
    <s v="Accessories"/>
    <s v="West"/>
    <n v="445.77"/>
    <n v="2"/>
    <n v="158.16999999999999"/>
    <n v="287.60000000000002"/>
  </r>
  <r>
    <s v="ORD0238"/>
    <d v="2024-07-31T00:00:00"/>
    <x v="1"/>
    <x v="2"/>
    <x v="1"/>
    <s v="Monitor"/>
    <s v="Electronics"/>
    <s v="South"/>
    <n v="5439.95"/>
    <n v="10"/>
    <n v="370.15"/>
    <n v="5069.8"/>
  </r>
  <r>
    <s v="ORD0239"/>
    <d v="2024-10-04T00:00:00"/>
    <x v="1"/>
    <x v="7"/>
    <x v="3"/>
    <s v="Headphones"/>
    <s v="Accessories"/>
    <s v="North"/>
    <n v="931.73"/>
    <n v="6"/>
    <n v="137.75"/>
    <n v="793.98"/>
  </r>
  <r>
    <s v="ORD0240"/>
    <d v="2023-10-09T00:00:00"/>
    <x v="0"/>
    <x v="7"/>
    <x v="3"/>
    <s v="Monitor"/>
    <s v="Electronics"/>
    <s v="North"/>
    <n v="831.4"/>
    <n v="10"/>
    <n v="63.81"/>
    <n v="767.58999999999992"/>
  </r>
  <r>
    <s v="ORD0241"/>
    <d v="2024-04-07T00:00:00"/>
    <x v="1"/>
    <x v="3"/>
    <x v="2"/>
    <s v="Keyboard"/>
    <s v="Accessories"/>
    <s v="South"/>
    <n v="92.22"/>
    <n v="1"/>
    <n v="64.37"/>
    <n v="27.849999999999994"/>
  </r>
  <r>
    <s v="ORD0242"/>
    <d v="2024-09-21T00:00:00"/>
    <x v="1"/>
    <x v="6"/>
    <x v="1"/>
    <s v="Laptop"/>
    <s v="Electronics"/>
    <s v="East"/>
    <n v="5339.66"/>
    <n v="10"/>
    <n v="415.51"/>
    <n v="4924.1499999999996"/>
  </r>
  <r>
    <s v="ORD0243"/>
    <d v="2024-04-05T00:00:00"/>
    <x v="1"/>
    <x v="3"/>
    <x v="2"/>
    <s v="Headphones"/>
    <s v="Accessories"/>
    <s v="East"/>
    <n v="6492.35"/>
    <n v="10"/>
    <n v="528.42999999999995"/>
    <n v="5963.92"/>
  </r>
  <r>
    <s v="ORD0244"/>
    <d v="2023-03-05T00:00:00"/>
    <x v="0"/>
    <x v="10"/>
    <x v="0"/>
    <s v="Monitor"/>
    <s v="Electronics"/>
    <s v="West"/>
    <n v="1176.24"/>
    <n v="8"/>
    <n v="100.73"/>
    <n v="1075.51"/>
  </r>
  <r>
    <s v="ORD0245"/>
    <d v="2024-05-31T00:00:00"/>
    <x v="1"/>
    <x v="8"/>
    <x v="2"/>
    <s v="Keyboard"/>
    <s v="Accessories"/>
    <s v="East"/>
    <n v="209.66"/>
    <n v="3"/>
    <n v="50.53"/>
    <n v="159.13"/>
  </r>
  <r>
    <s v="ORD0246"/>
    <d v="2024-01-08T00:00:00"/>
    <x v="1"/>
    <x v="0"/>
    <x v="0"/>
    <s v="Monitor"/>
    <s v="Electronics"/>
    <s v="West"/>
    <n v="5541.86"/>
    <n v="6"/>
    <n v="735.99"/>
    <n v="4805.87"/>
  </r>
  <r>
    <s v="ORD0247"/>
    <d v="2024-10-08T00:00:00"/>
    <x v="1"/>
    <x v="7"/>
    <x v="3"/>
    <s v="Keyboard"/>
    <s v="Accessories"/>
    <s v="East"/>
    <n v="487.5"/>
    <n v="6"/>
    <n v="71.41"/>
    <n v="416.09000000000003"/>
  </r>
  <r>
    <s v="ORD0248"/>
    <d v="2023-10-18T00:00:00"/>
    <x v="0"/>
    <x v="7"/>
    <x v="3"/>
    <s v="Printer"/>
    <s v="Electronics"/>
    <s v="South"/>
    <n v="3982.34"/>
    <n v="5"/>
    <n v="584.51"/>
    <n v="3397.83"/>
  </r>
  <r>
    <s v="ORD0249"/>
    <d v="2023-12-08T00:00:00"/>
    <x v="0"/>
    <x v="4"/>
    <x v="3"/>
    <s v="Headphones"/>
    <s v="Accessories"/>
    <s v="West"/>
    <n v="1097.68"/>
    <n v="2"/>
    <n v="474.54"/>
    <n v="623.1400000000001"/>
  </r>
  <r>
    <s v="ORD0250"/>
    <d v="2024-11-02T00:00:00"/>
    <x v="1"/>
    <x v="9"/>
    <x v="3"/>
    <s v="Keyboard"/>
    <s v="Accessories"/>
    <s v="North"/>
    <n v="1167.79"/>
    <n v="7"/>
    <n v="120.58"/>
    <n v="1047.21"/>
  </r>
  <r>
    <s v="ORD0251"/>
    <d v="2024-07-26T00:00:00"/>
    <x v="1"/>
    <x v="2"/>
    <x v="1"/>
    <s v="Laptop"/>
    <s v="Electronics"/>
    <s v="North"/>
    <n v="4498.8100000000004"/>
    <n v="7"/>
    <n v="521.91999999999996"/>
    <n v="3976.8900000000003"/>
  </r>
  <r>
    <s v="ORD0252"/>
    <d v="2024-10-23T00:00:00"/>
    <x v="1"/>
    <x v="7"/>
    <x v="3"/>
    <s v="Mouse"/>
    <s v="Accessories"/>
    <s v="East"/>
    <n v="3229.24"/>
    <n v="7"/>
    <n v="416.62"/>
    <n v="2812.62"/>
  </r>
  <r>
    <s v="ORD0253"/>
    <d v="2023-08-08T00:00:00"/>
    <x v="0"/>
    <x v="1"/>
    <x v="1"/>
    <s v="Keyboard"/>
    <s v="Accessories"/>
    <s v="West"/>
    <n v="5896.59"/>
    <n v="6"/>
    <n v="759.18"/>
    <n v="5137.41"/>
  </r>
  <r>
    <s v="ORD0254"/>
    <d v="2023-06-08T00:00:00"/>
    <x v="0"/>
    <x v="11"/>
    <x v="2"/>
    <s v="Mouse"/>
    <s v="Accessories"/>
    <s v="West"/>
    <n v="709.66"/>
    <n v="2"/>
    <n v="250.72"/>
    <n v="458.93999999999994"/>
  </r>
  <r>
    <s v="ORD0255"/>
    <d v="2024-11-08T00:00:00"/>
    <x v="1"/>
    <x v="9"/>
    <x v="3"/>
    <s v="Headphones"/>
    <s v="Accessories"/>
    <s v="East"/>
    <n v="5687.31"/>
    <n v="6"/>
    <n v="703.59"/>
    <n v="4983.72"/>
  </r>
  <r>
    <s v="ORD0256"/>
    <d v="2023-06-07T00:00:00"/>
    <x v="0"/>
    <x v="11"/>
    <x v="2"/>
    <s v="Headphones"/>
    <s v="Accessories"/>
    <s v="South"/>
    <n v="665.41"/>
    <n v="3"/>
    <n v="161.06"/>
    <n v="504.34999999999997"/>
  </r>
  <r>
    <s v="ORD0257"/>
    <d v="2024-03-24T00:00:00"/>
    <x v="1"/>
    <x v="10"/>
    <x v="0"/>
    <s v="Headphones"/>
    <s v="Accessories"/>
    <s v="West"/>
    <n v="466.63"/>
    <n v="1"/>
    <n v="340.47"/>
    <n v="126.15999999999997"/>
  </r>
  <r>
    <s v="ORD0258"/>
    <d v="2024-09-17T00:00:00"/>
    <x v="1"/>
    <x v="6"/>
    <x v="1"/>
    <s v="Mouse"/>
    <s v="Accessories"/>
    <s v="South"/>
    <n v="4289.1099999999997"/>
    <n v="5"/>
    <n v="606.87"/>
    <n v="3682.24"/>
  </r>
  <r>
    <s v="ORD0259"/>
    <d v="2023-11-13T00:00:00"/>
    <x v="0"/>
    <x v="9"/>
    <x v="3"/>
    <s v="Mouse"/>
    <s v="Accessories"/>
    <s v="West"/>
    <n v="6831.06"/>
    <n v="8"/>
    <n v="725.1"/>
    <n v="6105.96"/>
  </r>
  <r>
    <s v="ORD0260"/>
    <d v="2024-04-17T00:00:00"/>
    <x v="1"/>
    <x v="3"/>
    <x v="2"/>
    <s v="Printer"/>
    <s v="Electronics"/>
    <s v="South"/>
    <n v="4078.75"/>
    <n v="5"/>
    <n v="626.94000000000005"/>
    <n v="3451.81"/>
  </r>
  <r>
    <s v="ORD0261"/>
    <d v="2023-07-24T00:00:00"/>
    <x v="0"/>
    <x v="2"/>
    <x v="1"/>
    <s v="Monitor"/>
    <s v="Electronics"/>
    <s v="West"/>
    <n v="1535.4"/>
    <n v="10"/>
    <n v="127.95"/>
    <n v="1407.45"/>
  </r>
  <r>
    <s v="ORD0262"/>
    <d v="2024-01-16T00:00:00"/>
    <x v="1"/>
    <x v="0"/>
    <x v="0"/>
    <s v="Printer"/>
    <s v="Electronics"/>
    <s v="South"/>
    <n v="9330.2099999999991"/>
    <n v="9"/>
    <n v="748.75"/>
    <n v="8581.4599999999991"/>
  </r>
  <r>
    <s v="ORD0263"/>
    <d v="2023-10-19T00:00:00"/>
    <x v="0"/>
    <x v="7"/>
    <x v="3"/>
    <s v="Headphones"/>
    <s v="Accessories"/>
    <s v="East"/>
    <n v="1487.77"/>
    <n v="2"/>
    <n v="615.23"/>
    <n v="872.54"/>
  </r>
  <r>
    <s v="ORD0264"/>
    <d v="2024-03-23T00:00:00"/>
    <x v="1"/>
    <x v="10"/>
    <x v="0"/>
    <s v="Headphones"/>
    <s v="Accessories"/>
    <s v="West"/>
    <n v="1802.72"/>
    <n v="2"/>
    <n v="758.2"/>
    <n v="1044.52"/>
  </r>
  <r>
    <s v="ORD0265"/>
    <d v="2023-01-28T00:00:00"/>
    <x v="0"/>
    <x v="0"/>
    <x v="0"/>
    <s v="Monitor"/>
    <s v="Electronics"/>
    <s v="North"/>
    <n v="560.36"/>
    <n v="7"/>
    <n v="61.54"/>
    <n v="498.82"/>
  </r>
  <r>
    <s v="ORD0266"/>
    <d v="2023-03-25T00:00:00"/>
    <x v="0"/>
    <x v="10"/>
    <x v="0"/>
    <s v="Mouse"/>
    <s v="Accessories"/>
    <s v="South"/>
    <n v="1437.18"/>
    <n v="6"/>
    <n v="195.14"/>
    <n v="1242.04"/>
  </r>
  <r>
    <s v="ORD0267"/>
    <d v="2023-05-30T00:00:00"/>
    <x v="0"/>
    <x v="8"/>
    <x v="2"/>
    <s v="Laptop"/>
    <s v="Electronics"/>
    <s v="North"/>
    <n v="219.52"/>
    <n v="3"/>
    <n v="49.88"/>
    <n v="169.64000000000001"/>
  </r>
  <r>
    <s v="ORD0268"/>
    <d v="2024-12-23T00:00:00"/>
    <x v="1"/>
    <x v="4"/>
    <x v="3"/>
    <s v="Monitor"/>
    <s v="Electronics"/>
    <s v="West"/>
    <n v="3261.42"/>
    <n v="8"/>
    <n v="369.91"/>
    <n v="2891.51"/>
  </r>
  <r>
    <s v="ORD0269"/>
    <d v="2023-09-20T00:00:00"/>
    <x v="0"/>
    <x v="6"/>
    <x v="1"/>
    <s v="Laptop"/>
    <s v="Electronics"/>
    <s v="East"/>
    <n v="3543.02"/>
    <n v="4"/>
    <n v="671.27"/>
    <n v="2871.75"/>
  </r>
  <r>
    <s v="ORD0270"/>
    <d v="2023-04-24T00:00:00"/>
    <x v="0"/>
    <x v="3"/>
    <x v="2"/>
    <s v="Printer"/>
    <s v="Electronics"/>
    <s v="South"/>
    <n v="1179.53"/>
    <n v="5"/>
    <n v="205.36"/>
    <n v="974.17"/>
  </r>
  <r>
    <s v="ORD0271"/>
    <d v="2024-10-16T00:00:00"/>
    <x v="1"/>
    <x v="7"/>
    <x v="3"/>
    <s v="Mouse"/>
    <s v="Accessories"/>
    <s v="South"/>
    <n v="4309.0200000000004"/>
    <n v="10"/>
    <n v="376.55"/>
    <n v="3932.4700000000003"/>
  </r>
  <r>
    <s v="ORD0272"/>
    <d v="2024-10-09T00:00:00"/>
    <x v="1"/>
    <x v="7"/>
    <x v="3"/>
    <s v="Monitor"/>
    <s v="Electronics"/>
    <s v="East"/>
    <n v="5850.55"/>
    <n v="9"/>
    <n v="468.54"/>
    <n v="5382.01"/>
  </r>
  <r>
    <s v="ORD0273"/>
    <d v="2023-01-02T00:00:00"/>
    <x v="0"/>
    <x v="0"/>
    <x v="0"/>
    <s v="Keyboard"/>
    <s v="Accessories"/>
    <s v="South"/>
    <n v="3921.04"/>
    <n v="10"/>
    <n v="295.2"/>
    <n v="3625.84"/>
  </r>
  <r>
    <s v="ORD0274"/>
    <d v="2024-06-20T00:00:00"/>
    <x v="1"/>
    <x v="11"/>
    <x v="2"/>
    <s v="Mouse"/>
    <s v="Accessories"/>
    <s v="East"/>
    <n v="572.30999999999995"/>
    <n v="6"/>
    <n v="72.790000000000006"/>
    <n v="499.51999999999992"/>
  </r>
  <r>
    <s v="ORD0275"/>
    <d v="2024-02-04T00:00:00"/>
    <x v="1"/>
    <x v="5"/>
    <x v="0"/>
    <s v="Headphones"/>
    <s v="Accessories"/>
    <s v="East"/>
    <n v="541.65"/>
    <n v="8"/>
    <n v="53.96"/>
    <n v="487.69"/>
  </r>
  <r>
    <s v="ORD0276"/>
    <d v="2023-01-17T00:00:00"/>
    <x v="0"/>
    <x v="0"/>
    <x v="0"/>
    <s v="Keyboard"/>
    <s v="Accessories"/>
    <s v="North"/>
    <n v="4716.8500000000004"/>
    <n v="6"/>
    <n v="635.04999999999995"/>
    <n v="4081.8"/>
  </r>
  <r>
    <s v="ORD0277"/>
    <d v="2024-08-18T00:00:00"/>
    <x v="1"/>
    <x v="1"/>
    <x v="1"/>
    <s v="Printer"/>
    <s v="Electronics"/>
    <s v="East"/>
    <n v="923.69"/>
    <n v="6"/>
    <n v="124.06"/>
    <n v="799.63000000000011"/>
  </r>
  <r>
    <s v="ORD0278"/>
    <d v="2024-12-02T00:00:00"/>
    <x v="1"/>
    <x v="4"/>
    <x v="3"/>
    <s v="Keyboard"/>
    <s v="Accessories"/>
    <s v="West"/>
    <n v="8110.48"/>
    <n v="8"/>
    <n v="785.04"/>
    <n v="7325.44"/>
  </r>
  <r>
    <s v="ORD0279"/>
    <d v="2023-03-06T00:00:00"/>
    <x v="0"/>
    <x v="10"/>
    <x v="0"/>
    <s v="Mouse"/>
    <s v="Accessories"/>
    <s v="West"/>
    <n v="461.39"/>
    <n v="8"/>
    <n v="48.85"/>
    <n v="412.53999999999996"/>
  </r>
  <r>
    <s v="ORD0280"/>
    <d v="2023-11-20T00:00:00"/>
    <x v="0"/>
    <x v="9"/>
    <x v="3"/>
    <s v="Mouse"/>
    <s v="Accessories"/>
    <s v="East"/>
    <n v="3155.82"/>
    <n v="5"/>
    <n v="422"/>
    <n v="2733.82"/>
  </r>
  <r>
    <s v="ORD0281"/>
    <d v="2023-09-17T00:00:00"/>
    <x v="0"/>
    <x v="6"/>
    <x v="1"/>
    <s v="Headphones"/>
    <s v="Accessories"/>
    <s v="South"/>
    <n v="714.77"/>
    <n v="1"/>
    <n v="607.57000000000005"/>
    <n v="107.19999999999993"/>
  </r>
  <r>
    <s v="ORD0282"/>
    <d v="2024-11-02T00:00:00"/>
    <x v="1"/>
    <x v="9"/>
    <x v="3"/>
    <s v="Keyboard"/>
    <s v="Accessories"/>
    <s v="East"/>
    <n v="1985.73"/>
    <n v="6"/>
    <n v="233.11"/>
    <n v="1752.62"/>
  </r>
  <r>
    <s v="ORD0283"/>
    <d v="2024-03-26T00:00:00"/>
    <x v="1"/>
    <x v="10"/>
    <x v="0"/>
    <s v="Monitor"/>
    <s v="Electronics"/>
    <s v="South"/>
    <n v="2339.06"/>
    <n v="7"/>
    <n v="284.45"/>
    <n v="2054.61"/>
  </r>
  <r>
    <s v="ORD0284"/>
    <d v="2024-01-12T00:00:00"/>
    <x v="1"/>
    <x v="0"/>
    <x v="0"/>
    <s v="Printer"/>
    <s v="Electronics"/>
    <s v="South"/>
    <n v="2325.42"/>
    <n v="9"/>
    <n v="228.04"/>
    <n v="2097.38"/>
  </r>
  <r>
    <s v="ORD0285"/>
    <d v="2024-03-16T00:00:00"/>
    <x v="1"/>
    <x v="10"/>
    <x v="0"/>
    <s v="Monitor"/>
    <s v="Electronics"/>
    <s v="East"/>
    <n v="9332.68"/>
    <n v="10"/>
    <n v="796.18"/>
    <n v="8536.5"/>
  </r>
  <r>
    <s v="ORD0286"/>
    <d v="2023-04-16T00:00:00"/>
    <x v="0"/>
    <x v="3"/>
    <x v="2"/>
    <s v="Keyboard"/>
    <s v="Accessories"/>
    <s v="North"/>
    <n v="671.94"/>
    <n v="2"/>
    <n v="275.77999999999997"/>
    <n v="396.16000000000008"/>
  </r>
  <r>
    <s v="ORD0287"/>
    <d v="2023-06-20T00:00:00"/>
    <x v="0"/>
    <x v="11"/>
    <x v="2"/>
    <s v="Monitor"/>
    <s v="Electronics"/>
    <s v="South"/>
    <n v="2628.92"/>
    <n v="8"/>
    <n v="294.20999999999998"/>
    <n v="2334.71"/>
  </r>
  <r>
    <s v="ORD0288"/>
    <d v="2023-10-09T00:00:00"/>
    <x v="0"/>
    <x v="7"/>
    <x v="3"/>
    <s v="Keyboard"/>
    <s v="Accessories"/>
    <s v="South"/>
    <n v="106.41"/>
    <n v="1"/>
    <n v="78.53"/>
    <n v="27.879999999999995"/>
  </r>
  <r>
    <s v="ORD0289"/>
    <d v="2023-02-01T00:00:00"/>
    <x v="0"/>
    <x v="5"/>
    <x v="0"/>
    <s v="Keyboard"/>
    <s v="Accessories"/>
    <s v="West"/>
    <n v="2805.38"/>
    <n v="3"/>
    <n v="681.96"/>
    <n v="2123.42"/>
  </r>
  <r>
    <s v="ORD0290"/>
    <d v="2023-05-10T00:00:00"/>
    <x v="0"/>
    <x v="8"/>
    <x v="2"/>
    <s v="Monitor"/>
    <s v="Electronics"/>
    <s v="East"/>
    <n v="554.30999999999995"/>
    <n v="2"/>
    <n v="204.08"/>
    <n v="350.2299999999999"/>
  </r>
  <r>
    <s v="ORD0291"/>
    <d v="2024-08-03T00:00:00"/>
    <x v="1"/>
    <x v="1"/>
    <x v="1"/>
    <s v="Keyboard"/>
    <s v="Accessories"/>
    <s v="South"/>
    <n v="674.8"/>
    <n v="1"/>
    <n v="491.97"/>
    <n v="182.82999999999993"/>
  </r>
  <r>
    <s v="ORD0292"/>
    <d v="2024-03-30T00:00:00"/>
    <x v="1"/>
    <x v="10"/>
    <x v="0"/>
    <s v="Keyboard"/>
    <s v="Accessories"/>
    <s v="North"/>
    <n v="1226.94"/>
    <n v="2"/>
    <n v="467.66"/>
    <n v="759.28"/>
  </r>
  <r>
    <s v="ORD0293"/>
    <d v="2024-10-27T00:00:00"/>
    <x v="1"/>
    <x v="7"/>
    <x v="3"/>
    <s v="Monitor"/>
    <s v="Electronics"/>
    <s v="North"/>
    <n v="1229.56"/>
    <n v="5"/>
    <n v="214.7"/>
    <n v="1014.8599999999999"/>
  </r>
  <r>
    <s v="ORD0294"/>
    <d v="2024-05-26T00:00:00"/>
    <x v="1"/>
    <x v="8"/>
    <x v="2"/>
    <s v="Printer"/>
    <s v="Electronics"/>
    <s v="West"/>
    <n v="3837.1"/>
    <n v="9"/>
    <n v="321.85000000000002"/>
    <n v="3515.25"/>
  </r>
  <r>
    <s v="ORD0295"/>
    <d v="2024-12-21T00:00:00"/>
    <x v="1"/>
    <x v="4"/>
    <x v="3"/>
    <s v="Keyboard"/>
    <s v="Accessories"/>
    <s v="North"/>
    <n v="2015.62"/>
    <n v="8"/>
    <n v="187.36"/>
    <n v="1828.2599999999998"/>
  </r>
  <r>
    <s v="ORD0296"/>
    <d v="2023-07-24T00:00:00"/>
    <x v="0"/>
    <x v="2"/>
    <x v="1"/>
    <s v="Printer"/>
    <s v="Electronics"/>
    <s v="South"/>
    <n v="284.37"/>
    <n v="2"/>
    <n v="125.87"/>
    <n v="158.5"/>
  </r>
  <r>
    <s v="ORD0297"/>
    <d v="2023-03-31T00:00:00"/>
    <x v="0"/>
    <x v="10"/>
    <x v="0"/>
    <s v="Mouse"/>
    <s v="Accessories"/>
    <s v="South"/>
    <n v="4491.2"/>
    <n v="6"/>
    <n v="540.91999999999996"/>
    <n v="3950.2799999999997"/>
  </r>
  <r>
    <s v="ORD0298"/>
    <d v="2023-11-04T00:00:00"/>
    <x v="0"/>
    <x v="9"/>
    <x v="3"/>
    <s v="Headphones"/>
    <s v="Accessories"/>
    <s v="North"/>
    <n v="2538.2800000000002"/>
    <n v="3"/>
    <n v="575.21"/>
    <n v="1963.0700000000002"/>
  </r>
  <r>
    <s v="ORD0299"/>
    <d v="2024-01-06T00:00:00"/>
    <x v="1"/>
    <x v="0"/>
    <x v="0"/>
    <s v="Printer"/>
    <s v="Electronics"/>
    <s v="West"/>
    <n v="2620.85"/>
    <n v="9"/>
    <n v="194.91"/>
    <n v="2425.94"/>
  </r>
  <r>
    <s v="ORD0300"/>
    <d v="2024-05-20T00:00:00"/>
    <x v="1"/>
    <x v="8"/>
    <x v="2"/>
    <s v="Mouse"/>
    <s v="Accessories"/>
    <s v="West"/>
    <n v="400.67"/>
    <n v="1"/>
    <n v="301.5"/>
    <n v="99.1700000000000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d v="2023-01-26T00:00:00"/>
    <s v="2023"/>
    <s v="January"/>
    <x v="0"/>
    <x v="0"/>
    <x v="0"/>
    <s v="East"/>
    <n v="1219.5"/>
    <n v="5"/>
    <n v="211.02"/>
    <n v="1008.48"/>
  </r>
  <r>
    <x v="1"/>
    <d v="2024-08-27T00:00:00"/>
    <s v="2024"/>
    <s v="August"/>
    <x v="1"/>
    <x v="1"/>
    <x v="0"/>
    <s v="East"/>
    <n v="356.63"/>
    <n v="7"/>
    <n v="44.79"/>
    <n v="311.83999999999997"/>
  </r>
  <r>
    <x v="2"/>
    <d v="2024-07-28T00:00:00"/>
    <s v="2024"/>
    <s v="July"/>
    <x v="1"/>
    <x v="2"/>
    <x v="1"/>
    <s v="East"/>
    <n v="3194.55"/>
    <n v="4"/>
    <n v="578.5"/>
    <n v="2616.0500000000002"/>
  </r>
  <r>
    <x v="3"/>
    <d v="2024-04-04T00:00:00"/>
    <s v="2024"/>
    <s v="April"/>
    <x v="2"/>
    <x v="3"/>
    <x v="0"/>
    <s v="West"/>
    <n v="3430.95"/>
    <n v="10"/>
    <n v="236.99"/>
    <n v="3193.96"/>
  </r>
  <r>
    <x v="4"/>
    <d v="2023-12-15T00:00:00"/>
    <s v="2023"/>
    <s v="December"/>
    <x v="3"/>
    <x v="2"/>
    <x v="1"/>
    <s v="South"/>
    <n v="1047.44"/>
    <n v="5"/>
    <n v="141.27000000000001"/>
    <n v="906.17000000000007"/>
  </r>
  <r>
    <x v="5"/>
    <d v="2023-04-05T00:00:00"/>
    <s v="2023"/>
    <s v="April"/>
    <x v="2"/>
    <x v="4"/>
    <x v="1"/>
    <s v="East"/>
    <n v="961.37"/>
    <n v="7"/>
    <n v="95.44"/>
    <n v="865.93000000000006"/>
  </r>
  <r>
    <x v="6"/>
    <d v="2023-02-14T00:00:00"/>
    <s v="2023"/>
    <s v="February"/>
    <x v="0"/>
    <x v="5"/>
    <x v="1"/>
    <s v="North"/>
    <n v="5221.42"/>
    <n v="8"/>
    <n v="438.26"/>
    <n v="4783.16"/>
  </r>
  <r>
    <x v="7"/>
    <d v="2024-07-19T00:00:00"/>
    <s v="2024"/>
    <s v="July"/>
    <x v="1"/>
    <x v="3"/>
    <x v="0"/>
    <s v="East"/>
    <n v="4493.2"/>
    <n v="5"/>
    <n v="666.94"/>
    <n v="3826.2599999999998"/>
  </r>
  <r>
    <x v="8"/>
    <d v="2024-12-22T00:00:00"/>
    <s v="2024"/>
    <s v="December"/>
    <x v="3"/>
    <x v="4"/>
    <x v="1"/>
    <s v="West"/>
    <n v="132.79"/>
    <n v="2"/>
    <n v="55.74"/>
    <n v="77.049999999999983"/>
  </r>
  <r>
    <x v="9"/>
    <d v="2023-08-27T00:00:00"/>
    <s v="2023"/>
    <s v="August"/>
    <x v="1"/>
    <x v="4"/>
    <x v="1"/>
    <s v="East"/>
    <n v="811.1"/>
    <n v="2"/>
    <n v="316.5"/>
    <n v="494.6"/>
  </r>
  <r>
    <x v="10"/>
    <d v="2024-01-15T00:00:00"/>
    <s v="2024"/>
    <s v="January"/>
    <x v="0"/>
    <x v="4"/>
    <x v="1"/>
    <s v="West"/>
    <n v="1328.1"/>
    <n v="6"/>
    <n v="183.42"/>
    <n v="1144.6799999999998"/>
  </r>
  <r>
    <x v="11"/>
    <d v="2024-09-15T00:00:00"/>
    <s v="2024"/>
    <s v="September"/>
    <x v="1"/>
    <x v="0"/>
    <x v="0"/>
    <s v="East"/>
    <n v="1569.15"/>
    <n v="3"/>
    <n v="436.63"/>
    <n v="1132.52"/>
  </r>
  <r>
    <x v="12"/>
    <d v="2023-10-04T00:00:00"/>
    <s v="2023"/>
    <s v="October"/>
    <x v="3"/>
    <x v="3"/>
    <x v="0"/>
    <s v="South"/>
    <n v="2117.1999999999998"/>
    <n v="9"/>
    <n v="191.3"/>
    <n v="1925.8999999999999"/>
  </r>
  <r>
    <x v="13"/>
    <d v="2023-02-02T00:00:00"/>
    <s v="2023"/>
    <s v="February"/>
    <x v="0"/>
    <x v="1"/>
    <x v="0"/>
    <s v="West"/>
    <n v="2250.09"/>
    <n v="6"/>
    <n v="332.91"/>
    <n v="1917.18"/>
  </r>
  <r>
    <x v="14"/>
    <d v="2023-08-06T00:00:00"/>
    <s v="2023"/>
    <s v="August"/>
    <x v="1"/>
    <x v="5"/>
    <x v="1"/>
    <s v="North"/>
    <n v="3853.23"/>
    <n v="8"/>
    <n v="328.59"/>
    <n v="3524.64"/>
  </r>
  <r>
    <x v="15"/>
    <d v="2023-09-29T00:00:00"/>
    <s v="2023"/>
    <s v="September"/>
    <x v="1"/>
    <x v="3"/>
    <x v="0"/>
    <s v="West"/>
    <n v="843.88"/>
    <n v="3"/>
    <n v="212.37"/>
    <n v="631.51"/>
  </r>
  <r>
    <x v="16"/>
    <d v="2024-08-20T00:00:00"/>
    <s v="2024"/>
    <s v="August"/>
    <x v="1"/>
    <x v="4"/>
    <x v="1"/>
    <s v="South"/>
    <n v="3172.52"/>
    <n v="7"/>
    <n v="302.36"/>
    <n v="2870.16"/>
  </r>
  <r>
    <x v="17"/>
    <d v="2023-04-04T00:00:00"/>
    <s v="2023"/>
    <s v="April"/>
    <x v="2"/>
    <x v="2"/>
    <x v="1"/>
    <s v="South"/>
    <n v="803.11"/>
    <n v="1"/>
    <n v="691.66"/>
    <n v="111.45000000000005"/>
  </r>
  <r>
    <x v="18"/>
    <d v="2024-09-02T00:00:00"/>
    <s v="2024"/>
    <s v="September"/>
    <x v="1"/>
    <x v="2"/>
    <x v="1"/>
    <s v="South"/>
    <n v="856.87"/>
    <n v="2"/>
    <n v="320.12"/>
    <n v="536.75"/>
  </r>
  <r>
    <x v="19"/>
    <d v="2024-07-20T00:00:00"/>
    <s v="2024"/>
    <s v="July"/>
    <x v="1"/>
    <x v="3"/>
    <x v="0"/>
    <s v="North"/>
    <n v="630.91"/>
    <n v="1"/>
    <n v="550.62"/>
    <n v="80.289999999999964"/>
  </r>
  <r>
    <x v="20"/>
    <d v="2024-10-18T00:00:00"/>
    <s v="2024"/>
    <s v="October"/>
    <x v="3"/>
    <x v="5"/>
    <x v="1"/>
    <s v="North"/>
    <n v="817.92"/>
    <n v="6"/>
    <n v="107.01"/>
    <n v="710.91"/>
  </r>
  <r>
    <x v="21"/>
    <d v="2023-09-27T00:00:00"/>
    <s v="2023"/>
    <s v="September"/>
    <x v="1"/>
    <x v="3"/>
    <x v="0"/>
    <s v="East"/>
    <n v="7204.65"/>
    <n v="9"/>
    <n v="614.33000000000004"/>
    <n v="6590.32"/>
  </r>
  <r>
    <x v="22"/>
    <d v="2024-10-16T00:00:00"/>
    <s v="2024"/>
    <s v="October"/>
    <x v="3"/>
    <x v="1"/>
    <x v="0"/>
    <s v="North"/>
    <n v="5172.8599999999997"/>
    <n v="9"/>
    <n v="495"/>
    <n v="4677.8599999999997"/>
  </r>
  <r>
    <x v="23"/>
    <d v="2024-09-05T00:00:00"/>
    <s v="2024"/>
    <s v="September"/>
    <x v="1"/>
    <x v="2"/>
    <x v="1"/>
    <s v="East"/>
    <n v="2755.02"/>
    <n v="6"/>
    <n v="401.11"/>
    <n v="2353.91"/>
  </r>
  <r>
    <x v="24"/>
    <d v="2023-09-03T00:00:00"/>
    <s v="2023"/>
    <s v="September"/>
    <x v="1"/>
    <x v="4"/>
    <x v="1"/>
    <s v="North"/>
    <n v="275.83999999999997"/>
    <n v="1"/>
    <n v="207.88"/>
    <n v="67.95999999999998"/>
  </r>
  <r>
    <x v="25"/>
    <d v="2024-05-12T00:00:00"/>
    <s v="2024"/>
    <s v="May"/>
    <x v="2"/>
    <x v="1"/>
    <x v="0"/>
    <s v="East"/>
    <n v="2055.84"/>
    <n v="2"/>
    <n v="782.83"/>
    <n v="1273.0100000000002"/>
  </r>
  <r>
    <x v="26"/>
    <d v="2024-11-06T00:00:00"/>
    <s v="2024"/>
    <s v="November"/>
    <x v="3"/>
    <x v="2"/>
    <x v="1"/>
    <s v="West"/>
    <n v="7075.97"/>
    <n v="8"/>
    <n v="758.54"/>
    <n v="6317.43"/>
  </r>
  <r>
    <x v="27"/>
    <d v="2023-08-05T00:00:00"/>
    <s v="2023"/>
    <s v="August"/>
    <x v="1"/>
    <x v="5"/>
    <x v="1"/>
    <s v="South"/>
    <n v="7542.93"/>
    <n v="9"/>
    <n v="609.11"/>
    <n v="6933.8200000000006"/>
  </r>
  <r>
    <x v="28"/>
    <d v="2024-02-13T00:00:00"/>
    <s v="2024"/>
    <s v="February"/>
    <x v="0"/>
    <x v="0"/>
    <x v="0"/>
    <s v="North"/>
    <n v="2836.67"/>
    <n v="6"/>
    <n v="361.72"/>
    <n v="2474.9499999999998"/>
  </r>
  <r>
    <x v="29"/>
    <d v="2023-08-19T00:00:00"/>
    <s v="2023"/>
    <s v="August"/>
    <x v="1"/>
    <x v="1"/>
    <x v="0"/>
    <s v="West"/>
    <n v="757.69"/>
    <n v="2"/>
    <n v="283.70999999999998"/>
    <n v="473.98000000000008"/>
  </r>
  <r>
    <x v="30"/>
    <d v="2023-01-08T00:00:00"/>
    <s v="2023"/>
    <s v="January"/>
    <x v="0"/>
    <x v="2"/>
    <x v="1"/>
    <s v="West"/>
    <n v="1285.6099999999999"/>
    <n v="2"/>
    <n v="572.12"/>
    <n v="713.4899999999999"/>
  </r>
  <r>
    <x v="31"/>
    <d v="2023-12-05T00:00:00"/>
    <s v="2023"/>
    <s v="December"/>
    <x v="3"/>
    <x v="1"/>
    <x v="0"/>
    <s v="East"/>
    <n v="1020.09"/>
    <n v="2"/>
    <n v="421.04"/>
    <n v="599.04999999999995"/>
  </r>
  <r>
    <x v="32"/>
    <d v="2024-07-06T00:00:00"/>
    <s v="2024"/>
    <s v="July"/>
    <x v="1"/>
    <x v="3"/>
    <x v="0"/>
    <s v="West"/>
    <n v="2546.5300000000002"/>
    <n v="3"/>
    <n v="584.22"/>
    <n v="1962.3100000000002"/>
  </r>
  <r>
    <x v="33"/>
    <d v="2023-09-06T00:00:00"/>
    <s v="2023"/>
    <s v="September"/>
    <x v="1"/>
    <x v="5"/>
    <x v="1"/>
    <s v="South"/>
    <n v="6114.64"/>
    <n v="8"/>
    <n v="649.85"/>
    <n v="5464.79"/>
  </r>
  <r>
    <x v="34"/>
    <d v="2023-12-29T00:00:00"/>
    <s v="2023"/>
    <s v="December"/>
    <x v="3"/>
    <x v="1"/>
    <x v="0"/>
    <s v="South"/>
    <n v="3447.05"/>
    <n v="7"/>
    <n v="340.66"/>
    <n v="3106.3900000000003"/>
  </r>
  <r>
    <x v="35"/>
    <d v="2023-03-04T00:00:00"/>
    <s v="2023"/>
    <s v="March"/>
    <x v="0"/>
    <x v="1"/>
    <x v="0"/>
    <s v="East"/>
    <n v="5845.79"/>
    <n v="7"/>
    <n v="588.01"/>
    <n v="5257.78"/>
  </r>
  <r>
    <x v="36"/>
    <d v="2023-07-16T00:00:00"/>
    <s v="2023"/>
    <s v="July"/>
    <x v="1"/>
    <x v="1"/>
    <x v="0"/>
    <s v="West"/>
    <n v="2026.83"/>
    <n v="4"/>
    <n v="438.3"/>
    <n v="1588.53"/>
  </r>
  <r>
    <x v="37"/>
    <d v="2024-04-18T00:00:00"/>
    <s v="2024"/>
    <s v="April"/>
    <x v="2"/>
    <x v="2"/>
    <x v="1"/>
    <s v="North"/>
    <n v="3173.92"/>
    <n v="4"/>
    <n v="702.1"/>
    <n v="2471.8200000000002"/>
  </r>
  <r>
    <x v="38"/>
    <d v="2023-02-21T00:00:00"/>
    <s v="2023"/>
    <s v="February"/>
    <x v="0"/>
    <x v="5"/>
    <x v="1"/>
    <s v="East"/>
    <n v="8998.33"/>
    <n v="9"/>
    <n v="672.1"/>
    <n v="8326.23"/>
  </r>
  <r>
    <x v="39"/>
    <d v="2024-02-21T00:00:00"/>
    <s v="2024"/>
    <s v="February"/>
    <x v="0"/>
    <x v="2"/>
    <x v="1"/>
    <s v="West"/>
    <n v="4574.24"/>
    <n v="8"/>
    <n v="395.46"/>
    <n v="4178.78"/>
  </r>
  <r>
    <x v="40"/>
    <d v="2024-01-24T00:00:00"/>
    <s v="2024"/>
    <s v="January"/>
    <x v="0"/>
    <x v="1"/>
    <x v="0"/>
    <s v="West"/>
    <n v="951.04"/>
    <n v="1"/>
    <n v="788.54"/>
    <n v="162.5"/>
  </r>
  <r>
    <x v="41"/>
    <d v="2024-03-09T00:00:00"/>
    <s v="2024"/>
    <s v="March"/>
    <x v="0"/>
    <x v="3"/>
    <x v="0"/>
    <s v="North"/>
    <n v="6248.51"/>
    <n v="9"/>
    <n v="536.26"/>
    <n v="5712.25"/>
  </r>
  <r>
    <x v="42"/>
    <d v="2023-08-11T00:00:00"/>
    <s v="2023"/>
    <s v="August"/>
    <x v="1"/>
    <x v="2"/>
    <x v="1"/>
    <s v="North"/>
    <n v="621.25"/>
    <n v="1"/>
    <n v="471.76"/>
    <n v="149.49"/>
  </r>
  <r>
    <x v="43"/>
    <d v="2023-02-28T00:00:00"/>
    <s v="2023"/>
    <s v="February"/>
    <x v="0"/>
    <x v="0"/>
    <x v="0"/>
    <s v="North"/>
    <n v="618.9"/>
    <n v="1"/>
    <n v="475.66"/>
    <n v="143.23999999999995"/>
  </r>
  <r>
    <x v="44"/>
    <d v="2023-02-28T00:00:00"/>
    <s v="2023"/>
    <s v="February"/>
    <x v="0"/>
    <x v="5"/>
    <x v="1"/>
    <s v="West"/>
    <n v="871.83"/>
    <n v="9"/>
    <n v="82.49"/>
    <n v="789.34"/>
  </r>
  <r>
    <x v="45"/>
    <d v="2024-11-22T00:00:00"/>
    <s v="2024"/>
    <s v="November"/>
    <x v="3"/>
    <x v="5"/>
    <x v="1"/>
    <s v="East"/>
    <n v="1978.34"/>
    <n v="4"/>
    <n v="334.94"/>
    <n v="1643.3999999999999"/>
  </r>
  <r>
    <x v="46"/>
    <d v="2024-08-15T00:00:00"/>
    <s v="2024"/>
    <s v="August"/>
    <x v="1"/>
    <x v="5"/>
    <x v="1"/>
    <s v="West"/>
    <n v="577.72"/>
    <n v="10"/>
    <n v="51"/>
    <n v="526.72"/>
  </r>
  <r>
    <x v="47"/>
    <d v="2023-09-25T00:00:00"/>
    <s v="2023"/>
    <s v="September"/>
    <x v="1"/>
    <x v="0"/>
    <x v="0"/>
    <s v="North"/>
    <n v="2659.17"/>
    <n v="4"/>
    <n v="542.39"/>
    <n v="2116.7800000000002"/>
  </r>
  <r>
    <x v="48"/>
    <d v="2023-05-15T00:00:00"/>
    <s v="2023"/>
    <s v="May"/>
    <x v="2"/>
    <x v="4"/>
    <x v="1"/>
    <s v="South"/>
    <n v="2771.33"/>
    <n v="5"/>
    <n v="376.64"/>
    <n v="2394.69"/>
  </r>
  <r>
    <x v="49"/>
    <d v="2024-04-14T00:00:00"/>
    <s v="2024"/>
    <s v="April"/>
    <x v="2"/>
    <x v="1"/>
    <x v="0"/>
    <s v="East"/>
    <n v="11969.38"/>
    <n v="10"/>
    <n v="798.79"/>
    <n v="11170.59"/>
  </r>
  <r>
    <x v="50"/>
    <d v="2024-06-02T00:00:00"/>
    <s v="2024"/>
    <s v="June"/>
    <x v="2"/>
    <x v="1"/>
    <x v="0"/>
    <s v="West"/>
    <n v="764.34"/>
    <n v="5"/>
    <n v="123.32"/>
    <n v="641.02"/>
  </r>
  <r>
    <x v="51"/>
    <d v="2024-01-14T00:00:00"/>
    <s v="2024"/>
    <s v="January"/>
    <x v="0"/>
    <x v="1"/>
    <x v="0"/>
    <s v="West"/>
    <n v="1025.24"/>
    <n v="5"/>
    <n v="143.04"/>
    <n v="882.2"/>
  </r>
  <r>
    <x v="52"/>
    <d v="2024-09-18T00:00:00"/>
    <s v="2024"/>
    <s v="September"/>
    <x v="1"/>
    <x v="0"/>
    <x v="0"/>
    <s v="North"/>
    <n v="335.17"/>
    <n v="9"/>
    <n v="26.1"/>
    <n v="309.07"/>
  </r>
  <r>
    <x v="53"/>
    <d v="2023-05-18T00:00:00"/>
    <s v="2023"/>
    <s v="May"/>
    <x v="2"/>
    <x v="4"/>
    <x v="1"/>
    <s v="East"/>
    <n v="628.72"/>
    <n v="5"/>
    <n v="110.03"/>
    <n v="518.69000000000005"/>
  </r>
  <r>
    <x v="54"/>
    <d v="2023-10-06T00:00:00"/>
    <s v="2023"/>
    <s v="October"/>
    <x v="3"/>
    <x v="5"/>
    <x v="1"/>
    <s v="West"/>
    <n v="3410.54"/>
    <n v="5"/>
    <n v="491.77"/>
    <n v="2918.77"/>
  </r>
  <r>
    <x v="55"/>
    <d v="2024-06-01T00:00:00"/>
    <s v="2024"/>
    <s v="June"/>
    <x v="2"/>
    <x v="2"/>
    <x v="1"/>
    <s v="North"/>
    <n v="2527"/>
    <n v="8"/>
    <n v="215.87"/>
    <n v="2311.13"/>
  </r>
  <r>
    <x v="56"/>
    <d v="2024-10-11T00:00:00"/>
    <s v="2024"/>
    <s v="October"/>
    <x v="3"/>
    <x v="1"/>
    <x v="0"/>
    <s v="East"/>
    <n v="5217.38"/>
    <n v="7"/>
    <n v="666.89"/>
    <n v="4550.49"/>
  </r>
  <r>
    <x v="57"/>
    <d v="2024-10-14T00:00:00"/>
    <s v="2024"/>
    <s v="October"/>
    <x v="3"/>
    <x v="4"/>
    <x v="1"/>
    <s v="West"/>
    <n v="932.21"/>
    <n v="5"/>
    <n v="146.03"/>
    <n v="786.18000000000006"/>
  </r>
  <r>
    <x v="58"/>
    <d v="2024-07-28T00:00:00"/>
    <s v="2024"/>
    <s v="July"/>
    <x v="1"/>
    <x v="0"/>
    <x v="0"/>
    <s v="South"/>
    <n v="158.53"/>
    <n v="1"/>
    <n v="107.26"/>
    <n v="51.269999999999996"/>
  </r>
  <r>
    <x v="59"/>
    <d v="2024-07-12T00:00:00"/>
    <s v="2024"/>
    <s v="July"/>
    <x v="1"/>
    <x v="0"/>
    <x v="0"/>
    <s v="West"/>
    <n v="894.42"/>
    <n v="1"/>
    <n v="670.98"/>
    <n v="223.43999999999994"/>
  </r>
  <r>
    <x v="60"/>
    <d v="2023-05-11T00:00:00"/>
    <s v="2023"/>
    <s v="May"/>
    <x v="2"/>
    <x v="2"/>
    <x v="1"/>
    <s v="South"/>
    <n v="380.14"/>
    <n v="1"/>
    <n v="260.44"/>
    <n v="119.69999999999999"/>
  </r>
  <r>
    <x v="61"/>
    <d v="2023-08-04T00:00:00"/>
    <s v="2023"/>
    <s v="August"/>
    <x v="1"/>
    <x v="1"/>
    <x v="0"/>
    <s v="North"/>
    <n v="2682.62"/>
    <n v="4"/>
    <n v="540.21"/>
    <n v="2142.41"/>
  </r>
  <r>
    <x v="62"/>
    <d v="2024-09-27T00:00:00"/>
    <s v="2024"/>
    <s v="September"/>
    <x v="1"/>
    <x v="5"/>
    <x v="1"/>
    <s v="South"/>
    <n v="2659.75"/>
    <n v="3"/>
    <n v="742.1"/>
    <n v="1917.65"/>
  </r>
  <r>
    <x v="63"/>
    <d v="2024-02-27T00:00:00"/>
    <s v="2024"/>
    <s v="February"/>
    <x v="0"/>
    <x v="2"/>
    <x v="1"/>
    <s v="West"/>
    <n v="235.02"/>
    <n v="1"/>
    <n v="159.9"/>
    <n v="75.12"/>
  </r>
  <r>
    <x v="64"/>
    <d v="2023-10-01T00:00:00"/>
    <s v="2023"/>
    <s v="October"/>
    <x v="3"/>
    <x v="3"/>
    <x v="0"/>
    <s v="West"/>
    <n v="2174.9499999999998"/>
    <n v="3"/>
    <n v="634.15"/>
    <n v="1540.7999999999997"/>
  </r>
  <r>
    <x v="65"/>
    <d v="2023-08-16T00:00:00"/>
    <s v="2023"/>
    <s v="August"/>
    <x v="1"/>
    <x v="1"/>
    <x v="0"/>
    <s v="South"/>
    <n v="3374.36"/>
    <n v="4"/>
    <n v="656.94"/>
    <n v="2717.42"/>
  </r>
  <r>
    <x v="66"/>
    <d v="2023-08-17T00:00:00"/>
    <s v="2023"/>
    <s v="August"/>
    <x v="1"/>
    <x v="4"/>
    <x v="1"/>
    <s v="West"/>
    <n v="673.56"/>
    <n v="1"/>
    <n v="534.83000000000004"/>
    <n v="138.7299999999999"/>
  </r>
  <r>
    <x v="67"/>
    <d v="2023-10-13T00:00:00"/>
    <s v="2023"/>
    <s v="October"/>
    <x v="3"/>
    <x v="4"/>
    <x v="1"/>
    <s v="East"/>
    <n v="3933.52"/>
    <n v="6"/>
    <n v="520.36"/>
    <n v="3413.16"/>
  </r>
  <r>
    <x v="68"/>
    <d v="2023-01-29T00:00:00"/>
    <s v="2023"/>
    <s v="January"/>
    <x v="0"/>
    <x v="5"/>
    <x v="1"/>
    <s v="North"/>
    <n v="1696.13"/>
    <n v="2"/>
    <n v="704.09"/>
    <n v="992.04000000000008"/>
  </r>
  <r>
    <x v="69"/>
    <d v="2023-02-09T00:00:00"/>
    <s v="2023"/>
    <s v="February"/>
    <x v="0"/>
    <x v="5"/>
    <x v="1"/>
    <s v="North"/>
    <n v="1201.94"/>
    <n v="2"/>
    <n v="485.33"/>
    <n v="716.61000000000013"/>
  </r>
  <r>
    <x v="70"/>
    <d v="2024-09-12T00:00:00"/>
    <s v="2024"/>
    <s v="September"/>
    <x v="1"/>
    <x v="4"/>
    <x v="1"/>
    <s v="South"/>
    <n v="1447.83"/>
    <n v="9"/>
    <n v="110.2"/>
    <n v="1337.6299999999999"/>
  </r>
  <r>
    <x v="71"/>
    <d v="2023-02-15T00:00:00"/>
    <s v="2023"/>
    <s v="February"/>
    <x v="0"/>
    <x v="2"/>
    <x v="1"/>
    <s v="North"/>
    <n v="219.42"/>
    <n v="7"/>
    <n v="21.32"/>
    <n v="198.1"/>
  </r>
  <r>
    <x v="72"/>
    <d v="2024-01-08T00:00:00"/>
    <s v="2024"/>
    <s v="January"/>
    <x v="0"/>
    <x v="5"/>
    <x v="1"/>
    <s v="West"/>
    <n v="712.97"/>
    <n v="7"/>
    <n v="74.58"/>
    <n v="638.39"/>
  </r>
  <r>
    <x v="73"/>
    <d v="2024-11-10T00:00:00"/>
    <s v="2024"/>
    <s v="November"/>
    <x v="3"/>
    <x v="4"/>
    <x v="1"/>
    <s v="North"/>
    <n v="1418.79"/>
    <n v="2"/>
    <n v="581.41"/>
    <n v="837.38"/>
  </r>
  <r>
    <x v="74"/>
    <d v="2023-12-01T00:00:00"/>
    <s v="2023"/>
    <s v="December"/>
    <x v="3"/>
    <x v="4"/>
    <x v="1"/>
    <s v="South"/>
    <n v="5216.66"/>
    <n v="7"/>
    <n v="563.82000000000005"/>
    <n v="4652.84"/>
  </r>
  <r>
    <x v="75"/>
    <d v="2024-11-11T00:00:00"/>
    <s v="2024"/>
    <s v="November"/>
    <x v="3"/>
    <x v="2"/>
    <x v="1"/>
    <s v="South"/>
    <n v="5608.04"/>
    <n v="7"/>
    <n v="548.30999999999995"/>
    <n v="5059.7299999999996"/>
  </r>
  <r>
    <x v="76"/>
    <d v="2024-02-20T00:00:00"/>
    <s v="2024"/>
    <s v="February"/>
    <x v="0"/>
    <x v="5"/>
    <x v="1"/>
    <s v="North"/>
    <n v="7369.35"/>
    <n v="9"/>
    <n v="670.31"/>
    <n v="6699.0400000000009"/>
  </r>
  <r>
    <x v="77"/>
    <d v="2024-08-16T00:00:00"/>
    <s v="2024"/>
    <s v="August"/>
    <x v="1"/>
    <x v="2"/>
    <x v="1"/>
    <s v="South"/>
    <n v="6824.39"/>
    <n v="10"/>
    <n v="530.66999999999996"/>
    <n v="6293.72"/>
  </r>
  <r>
    <x v="78"/>
    <d v="2024-06-07T00:00:00"/>
    <s v="2024"/>
    <s v="June"/>
    <x v="2"/>
    <x v="3"/>
    <x v="0"/>
    <s v="West"/>
    <n v="7587.17"/>
    <n v="8"/>
    <n v="639.11"/>
    <n v="6948.06"/>
  </r>
  <r>
    <x v="79"/>
    <d v="2024-11-05T00:00:00"/>
    <s v="2024"/>
    <s v="November"/>
    <x v="3"/>
    <x v="0"/>
    <x v="0"/>
    <s v="West"/>
    <n v="659.15"/>
    <n v="2"/>
    <n v="241.35"/>
    <n v="417.79999999999995"/>
  </r>
  <r>
    <x v="80"/>
    <d v="2023-04-06T00:00:00"/>
    <s v="2023"/>
    <s v="April"/>
    <x v="2"/>
    <x v="5"/>
    <x v="1"/>
    <s v="North"/>
    <n v="2592.84"/>
    <n v="4"/>
    <n v="544.78"/>
    <n v="2048.0600000000004"/>
  </r>
  <r>
    <x v="81"/>
    <d v="2023-01-26T00:00:00"/>
    <s v="2023"/>
    <s v="January"/>
    <x v="0"/>
    <x v="2"/>
    <x v="1"/>
    <s v="West"/>
    <n v="272.18"/>
    <n v="1"/>
    <n v="210.98"/>
    <n v="61.200000000000017"/>
  </r>
  <r>
    <x v="82"/>
    <d v="2024-02-29T00:00:00"/>
    <s v="2024"/>
    <s v="February"/>
    <x v="0"/>
    <x v="1"/>
    <x v="0"/>
    <s v="South"/>
    <n v="2366.4"/>
    <n v="10"/>
    <n v="171.66"/>
    <n v="2194.7400000000002"/>
  </r>
  <r>
    <x v="83"/>
    <d v="2023-09-07T00:00:00"/>
    <s v="2023"/>
    <s v="September"/>
    <x v="1"/>
    <x v="3"/>
    <x v="0"/>
    <s v="South"/>
    <n v="1758.25"/>
    <n v="3"/>
    <n v="531.73"/>
    <n v="1226.52"/>
  </r>
  <r>
    <x v="84"/>
    <d v="2023-08-13T00:00:00"/>
    <s v="2023"/>
    <s v="August"/>
    <x v="1"/>
    <x v="1"/>
    <x v="0"/>
    <s v="South"/>
    <n v="2676.27"/>
    <n v="3"/>
    <n v="647.21"/>
    <n v="2029.06"/>
  </r>
  <r>
    <x v="85"/>
    <d v="2024-07-24T00:00:00"/>
    <s v="2024"/>
    <s v="July"/>
    <x v="1"/>
    <x v="3"/>
    <x v="0"/>
    <s v="East"/>
    <n v="3379.61"/>
    <n v="4"/>
    <n v="735.63"/>
    <n v="2643.98"/>
  </r>
  <r>
    <x v="86"/>
    <d v="2024-11-14T00:00:00"/>
    <s v="2024"/>
    <s v="November"/>
    <x v="3"/>
    <x v="2"/>
    <x v="1"/>
    <s v="South"/>
    <n v="9521.2099999999991"/>
    <n v="9"/>
    <n v="790.56"/>
    <n v="8730.65"/>
  </r>
  <r>
    <x v="87"/>
    <d v="2024-07-15T00:00:00"/>
    <s v="2024"/>
    <s v="July"/>
    <x v="1"/>
    <x v="3"/>
    <x v="0"/>
    <s v="South"/>
    <n v="8047.37"/>
    <n v="8"/>
    <n v="719.82"/>
    <n v="7327.55"/>
  </r>
  <r>
    <x v="88"/>
    <d v="2023-09-23T00:00:00"/>
    <s v="2023"/>
    <s v="September"/>
    <x v="1"/>
    <x v="3"/>
    <x v="0"/>
    <s v="South"/>
    <n v="3269.93"/>
    <n v="4"/>
    <n v="675.09"/>
    <n v="2594.8399999999997"/>
  </r>
  <r>
    <x v="89"/>
    <d v="2024-10-03T00:00:00"/>
    <s v="2024"/>
    <s v="October"/>
    <x v="3"/>
    <x v="5"/>
    <x v="1"/>
    <s v="South"/>
    <n v="1059.47"/>
    <n v="4"/>
    <n v="234.19"/>
    <n v="825.28"/>
  </r>
  <r>
    <x v="90"/>
    <d v="2023-10-06T00:00:00"/>
    <s v="2023"/>
    <s v="October"/>
    <x v="3"/>
    <x v="4"/>
    <x v="1"/>
    <s v="West"/>
    <n v="2127.04"/>
    <n v="6"/>
    <n v="269.37"/>
    <n v="1857.67"/>
  </r>
  <r>
    <x v="91"/>
    <d v="2023-08-25T00:00:00"/>
    <s v="2023"/>
    <s v="August"/>
    <x v="1"/>
    <x v="2"/>
    <x v="1"/>
    <s v="West"/>
    <n v="5432.05"/>
    <n v="7"/>
    <n v="561.28"/>
    <n v="4870.7700000000004"/>
  </r>
  <r>
    <x v="92"/>
    <d v="2024-02-22T00:00:00"/>
    <s v="2024"/>
    <s v="February"/>
    <x v="0"/>
    <x v="1"/>
    <x v="0"/>
    <s v="South"/>
    <n v="3367.67"/>
    <n v="6"/>
    <n v="443.24"/>
    <n v="2924.4300000000003"/>
  </r>
  <r>
    <x v="93"/>
    <d v="2024-02-03T00:00:00"/>
    <s v="2024"/>
    <s v="February"/>
    <x v="0"/>
    <x v="2"/>
    <x v="1"/>
    <s v="South"/>
    <n v="8396.4500000000007"/>
    <n v="10"/>
    <n v="757.93"/>
    <n v="7638.52"/>
  </r>
  <r>
    <x v="94"/>
    <d v="2024-05-03T00:00:00"/>
    <s v="2024"/>
    <s v="May"/>
    <x v="2"/>
    <x v="5"/>
    <x v="1"/>
    <s v="South"/>
    <n v="921.1"/>
    <n v="1"/>
    <n v="755.34"/>
    <n v="165.76"/>
  </r>
  <r>
    <x v="95"/>
    <d v="2024-07-05T00:00:00"/>
    <s v="2024"/>
    <s v="July"/>
    <x v="1"/>
    <x v="3"/>
    <x v="0"/>
    <s v="South"/>
    <n v="8455.77"/>
    <n v="9"/>
    <n v="643.9"/>
    <n v="7811.8700000000008"/>
  </r>
  <r>
    <x v="96"/>
    <d v="2023-10-07T00:00:00"/>
    <s v="2023"/>
    <s v="October"/>
    <x v="3"/>
    <x v="3"/>
    <x v="0"/>
    <s v="West"/>
    <n v="3504.97"/>
    <n v="7"/>
    <n v="398.8"/>
    <n v="3106.1699999999996"/>
  </r>
  <r>
    <x v="97"/>
    <d v="2023-06-19T00:00:00"/>
    <s v="2023"/>
    <s v="June"/>
    <x v="2"/>
    <x v="0"/>
    <x v="0"/>
    <s v="South"/>
    <n v="8801.4"/>
    <n v="8"/>
    <n v="737.24"/>
    <n v="8064.16"/>
  </r>
  <r>
    <x v="98"/>
    <d v="2024-02-08T00:00:00"/>
    <s v="2024"/>
    <s v="February"/>
    <x v="0"/>
    <x v="5"/>
    <x v="1"/>
    <s v="East"/>
    <n v="5112.42"/>
    <n v="10"/>
    <n v="460.23"/>
    <n v="4652.1900000000005"/>
  </r>
  <r>
    <x v="99"/>
    <d v="2023-05-19T00:00:00"/>
    <s v="2023"/>
    <s v="May"/>
    <x v="2"/>
    <x v="0"/>
    <x v="0"/>
    <s v="South"/>
    <n v="1558.06"/>
    <n v="8"/>
    <n v="161.75"/>
    <n v="1396.31"/>
  </r>
  <r>
    <x v="100"/>
    <d v="2024-04-10T00:00:00"/>
    <s v="2024"/>
    <s v="April"/>
    <x v="2"/>
    <x v="4"/>
    <x v="1"/>
    <s v="West"/>
    <n v="2467.4299999999998"/>
    <n v="6"/>
    <n v="283.25"/>
    <n v="2184.1799999999998"/>
  </r>
  <r>
    <x v="101"/>
    <d v="2023-09-16T00:00:00"/>
    <s v="2023"/>
    <s v="September"/>
    <x v="1"/>
    <x v="4"/>
    <x v="1"/>
    <s v="South"/>
    <n v="1082.8499999999999"/>
    <n v="2"/>
    <n v="386.84"/>
    <n v="696.01"/>
  </r>
  <r>
    <x v="102"/>
    <d v="2023-08-18T00:00:00"/>
    <s v="2023"/>
    <s v="August"/>
    <x v="1"/>
    <x v="1"/>
    <x v="0"/>
    <s v="North"/>
    <n v="1712.74"/>
    <n v="2"/>
    <n v="629.36"/>
    <n v="1083.3800000000001"/>
  </r>
  <r>
    <x v="103"/>
    <d v="2023-07-24T00:00:00"/>
    <s v="2023"/>
    <s v="July"/>
    <x v="1"/>
    <x v="1"/>
    <x v="0"/>
    <s v="West"/>
    <n v="603.26"/>
    <n v="1"/>
    <n v="504.64"/>
    <n v="98.62"/>
  </r>
  <r>
    <x v="104"/>
    <d v="2024-07-31T00:00:00"/>
    <s v="2024"/>
    <s v="July"/>
    <x v="1"/>
    <x v="3"/>
    <x v="0"/>
    <s v="East"/>
    <n v="1840.93"/>
    <n v="4"/>
    <n v="382.73"/>
    <n v="1458.2"/>
  </r>
  <r>
    <x v="105"/>
    <d v="2024-09-12T00:00:00"/>
    <s v="2024"/>
    <s v="September"/>
    <x v="1"/>
    <x v="4"/>
    <x v="1"/>
    <s v="West"/>
    <n v="10706.26"/>
    <n v="10"/>
    <n v="771.71"/>
    <n v="9934.5499999999993"/>
  </r>
  <r>
    <x v="106"/>
    <d v="2023-04-21T00:00:00"/>
    <s v="2023"/>
    <s v="April"/>
    <x v="2"/>
    <x v="2"/>
    <x v="1"/>
    <s v="North"/>
    <n v="490.28"/>
    <n v="10"/>
    <n v="40.03"/>
    <n v="450.25"/>
  </r>
  <r>
    <x v="107"/>
    <d v="2024-02-11T00:00:00"/>
    <s v="2024"/>
    <s v="February"/>
    <x v="0"/>
    <x v="0"/>
    <x v="0"/>
    <s v="South"/>
    <n v="436.44"/>
    <n v="4"/>
    <n v="79.28"/>
    <n v="357.15999999999997"/>
  </r>
  <r>
    <x v="108"/>
    <d v="2023-04-15T00:00:00"/>
    <s v="2023"/>
    <s v="April"/>
    <x v="2"/>
    <x v="0"/>
    <x v="0"/>
    <s v="West"/>
    <n v="4578.2"/>
    <n v="5"/>
    <n v="683.23"/>
    <n v="3894.97"/>
  </r>
  <r>
    <x v="109"/>
    <d v="2023-12-22T00:00:00"/>
    <s v="2023"/>
    <s v="December"/>
    <x v="3"/>
    <x v="1"/>
    <x v="0"/>
    <s v="East"/>
    <n v="3978.32"/>
    <n v="9"/>
    <n v="354.13"/>
    <n v="3624.19"/>
  </r>
  <r>
    <x v="110"/>
    <d v="2023-01-13T00:00:00"/>
    <s v="2023"/>
    <s v="January"/>
    <x v="0"/>
    <x v="5"/>
    <x v="1"/>
    <s v="North"/>
    <n v="5288.39"/>
    <n v="7"/>
    <n v="661.42"/>
    <n v="4626.97"/>
  </r>
  <r>
    <x v="111"/>
    <d v="2024-12-25T00:00:00"/>
    <s v="2024"/>
    <s v="December"/>
    <x v="3"/>
    <x v="4"/>
    <x v="1"/>
    <s v="South"/>
    <n v="1503.66"/>
    <n v="3"/>
    <n v="359.68"/>
    <n v="1143.98"/>
  </r>
  <r>
    <x v="112"/>
    <d v="2024-09-22T00:00:00"/>
    <s v="2024"/>
    <s v="September"/>
    <x v="1"/>
    <x v="0"/>
    <x v="0"/>
    <s v="North"/>
    <n v="7224.44"/>
    <n v="9"/>
    <n v="624.22"/>
    <n v="6600.2199999999993"/>
  </r>
  <r>
    <x v="113"/>
    <d v="2023-11-27T00:00:00"/>
    <s v="2023"/>
    <s v="November"/>
    <x v="3"/>
    <x v="0"/>
    <x v="0"/>
    <s v="North"/>
    <n v="3031.69"/>
    <n v="4"/>
    <n v="667.97"/>
    <n v="2363.7200000000003"/>
  </r>
  <r>
    <x v="114"/>
    <d v="2024-04-20T00:00:00"/>
    <s v="2024"/>
    <s v="April"/>
    <x v="2"/>
    <x v="3"/>
    <x v="0"/>
    <s v="West"/>
    <n v="6208.67"/>
    <n v="10"/>
    <n v="496.06"/>
    <n v="5712.61"/>
  </r>
  <r>
    <x v="115"/>
    <d v="2023-11-29T00:00:00"/>
    <s v="2023"/>
    <s v="November"/>
    <x v="3"/>
    <x v="1"/>
    <x v="0"/>
    <s v="South"/>
    <n v="1491.4"/>
    <n v="3"/>
    <n v="400.29"/>
    <n v="1091.1100000000001"/>
  </r>
  <r>
    <x v="116"/>
    <d v="2023-10-14T00:00:00"/>
    <s v="2023"/>
    <s v="October"/>
    <x v="3"/>
    <x v="4"/>
    <x v="1"/>
    <s v="North"/>
    <n v="6862.61"/>
    <n v="10"/>
    <n v="566.91999999999996"/>
    <n v="6295.69"/>
  </r>
  <r>
    <x v="117"/>
    <d v="2023-03-29T00:00:00"/>
    <s v="2023"/>
    <s v="March"/>
    <x v="0"/>
    <x v="1"/>
    <x v="0"/>
    <s v="West"/>
    <n v="3014"/>
    <n v="4"/>
    <n v="581.66"/>
    <n v="2432.34"/>
  </r>
  <r>
    <x v="118"/>
    <d v="2024-10-23T00:00:00"/>
    <s v="2024"/>
    <s v="October"/>
    <x v="3"/>
    <x v="2"/>
    <x v="1"/>
    <s v="South"/>
    <n v="3272.7"/>
    <n v="8"/>
    <n v="369.58"/>
    <n v="2903.12"/>
  </r>
  <r>
    <x v="119"/>
    <d v="2024-02-19T00:00:00"/>
    <s v="2024"/>
    <s v="February"/>
    <x v="0"/>
    <x v="4"/>
    <x v="1"/>
    <s v="West"/>
    <n v="1379.74"/>
    <n v="4"/>
    <n v="258.83999999999997"/>
    <n v="1120.9000000000001"/>
  </r>
  <r>
    <x v="120"/>
    <d v="2024-03-11T00:00:00"/>
    <s v="2024"/>
    <s v="March"/>
    <x v="0"/>
    <x v="3"/>
    <x v="0"/>
    <s v="North"/>
    <n v="3455.87"/>
    <n v="9"/>
    <n v="278.02"/>
    <n v="3177.85"/>
  </r>
  <r>
    <x v="121"/>
    <d v="2023-09-15T00:00:00"/>
    <s v="2023"/>
    <s v="September"/>
    <x v="1"/>
    <x v="4"/>
    <x v="1"/>
    <s v="North"/>
    <n v="537.25"/>
    <n v="4"/>
    <n v="114.11"/>
    <n v="423.14"/>
  </r>
  <r>
    <x v="122"/>
    <d v="2023-07-16T00:00:00"/>
    <s v="2023"/>
    <s v="July"/>
    <x v="1"/>
    <x v="1"/>
    <x v="0"/>
    <s v="West"/>
    <n v="2886.6"/>
    <n v="4"/>
    <n v="596.11"/>
    <n v="2290.4899999999998"/>
  </r>
  <r>
    <x v="123"/>
    <d v="2023-04-13T00:00:00"/>
    <s v="2023"/>
    <s v="April"/>
    <x v="2"/>
    <x v="5"/>
    <x v="1"/>
    <s v="North"/>
    <n v="1249.68"/>
    <n v="4"/>
    <n v="251.07"/>
    <n v="998.61000000000013"/>
  </r>
  <r>
    <x v="124"/>
    <d v="2024-12-26T00:00:00"/>
    <s v="2024"/>
    <s v="December"/>
    <x v="3"/>
    <x v="4"/>
    <x v="1"/>
    <s v="East"/>
    <n v="1194.8800000000001"/>
    <n v="9"/>
    <n v="118.73"/>
    <n v="1076.1500000000001"/>
  </r>
  <r>
    <x v="125"/>
    <d v="2024-12-15T00:00:00"/>
    <s v="2024"/>
    <s v="December"/>
    <x v="3"/>
    <x v="1"/>
    <x v="0"/>
    <s v="North"/>
    <n v="2175.4"/>
    <n v="3"/>
    <n v="517.54"/>
    <n v="1657.8600000000001"/>
  </r>
  <r>
    <x v="126"/>
    <d v="2024-08-10T00:00:00"/>
    <s v="2024"/>
    <s v="August"/>
    <x v="1"/>
    <x v="1"/>
    <x v="0"/>
    <s v="East"/>
    <n v="2463.87"/>
    <n v="5"/>
    <n v="386.13"/>
    <n v="2077.7399999999998"/>
  </r>
  <r>
    <x v="127"/>
    <d v="2023-09-16T00:00:00"/>
    <s v="2023"/>
    <s v="September"/>
    <x v="1"/>
    <x v="2"/>
    <x v="1"/>
    <s v="East"/>
    <n v="981.9"/>
    <n v="8"/>
    <n v="108.99"/>
    <n v="872.91"/>
  </r>
  <r>
    <x v="128"/>
    <d v="2024-08-13T00:00:00"/>
    <s v="2024"/>
    <s v="August"/>
    <x v="1"/>
    <x v="3"/>
    <x v="0"/>
    <s v="East"/>
    <n v="197.07"/>
    <n v="1"/>
    <n v="138.35"/>
    <n v="58.72"/>
  </r>
  <r>
    <x v="129"/>
    <d v="2023-09-12T00:00:00"/>
    <s v="2023"/>
    <s v="September"/>
    <x v="1"/>
    <x v="4"/>
    <x v="1"/>
    <s v="East"/>
    <n v="1153.25"/>
    <n v="2"/>
    <n v="455.3"/>
    <n v="697.95"/>
  </r>
  <r>
    <x v="130"/>
    <d v="2024-06-19T00:00:00"/>
    <s v="2024"/>
    <s v="June"/>
    <x v="2"/>
    <x v="5"/>
    <x v="1"/>
    <s v="West"/>
    <n v="3320.17"/>
    <n v="7"/>
    <n v="371.4"/>
    <n v="2948.77"/>
  </r>
  <r>
    <x v="131"/>
    <d v="2023-11-09T00:00:00"/>
    <s v="2023"/>
    <s v="November"/>
    <x v="3"/>
    <x v="5"/>
    <x v="1"/>
    <s v="South"/>
    <n v="6778.39"/>
    <n v="10"/>
    <n v="504.4"/>
    <n v="6273.9900000000007"/>
  </r>
  <r>
    <x v="132"/>
    <d v="2023-08-01T00:00:00"/>
    <s v="2023"/>
    <s v="August"/>
    <x v="1"/>
    <x v="0"/>
    <x v="0"/>
    <s v="East"/>
    <n v="1025.6600000000001"/>
    <n v="4"/>
    <n v="226.42"/>
    <n v="799.24000000000012"/>
  </r>
  <r>
    <x v="133"/>
    <d v="2024-07-19T00:00:00"/>
    <s v="2024"/>
    <s v="July"/>
    <x v="1"/>
    <x v="2"/>
    <x v="1"/>
    <s v="West"/>
    <n v="359.06"/>
    <n v="2"/>
    <n v="142.1"/>
    <n v="216.96"/>
  </r>
  <r>
    <x v="134"/>
    <d v="2023-10-26T00:00:00"/>
    <s v="2023"/>
    <s v="October"/>
    <x v="3"/>
    <x v="0"/>
    <x v="0"/>
    <s v="South"/>
    <n v="277.32"/>
    <n v="1"/>
    <n v="200.55"/>
    <n v="76.769999999999982"/>
  </r>
  <r>
    <x v="135"/>
    <d v="2023-03-14T00:00:00"/>
    <s v="2023"/>
    <s v="March"/>
    <x v="0"/>
    <x v="0"/>
    <x v="0"/>
    <s v="South"/>
    <n v="4192.47"/>
    <n v="4"/>
    <n v="740.65"/>
    <n v="3451.82"/>
  </r>
  <r>
    <x v="136"/>
    <d v="2024-03-11T00:00:00"/>
    <s v="2024"/>
    <s v="March"/>
    <x v="0"/>
    <x v="0"/>
    <x v="0"/>
    <s v="West"/>
    <n v="1208.9100000000001"/>
    <n v="2"/>
    <n v="444.76"/>
    <n v="764.15000000000009"/>
  </r>
  <r>
    <x v="137"/>
    <d v="2023-03-15T00:00:00"/>
    <s v="2023"/>
    <s v="March"/>
    <x v="0"/>
    <x v="4"/>
    <x v="1"/>
    <s v="West"/>
    <n v="182.75"/>
    <n v="1"/>
    <n v="149.41999999999999"/>
    <n v="33.330000000000013"/>
  </r>
  <r>
    <x v="138"/>
    <d v="2024-03-25T00:00:00"/>
    <s v="2024"/>
    <s v="March"/>
    <x v="0"/>
    <x v="0"/>
    <x v="0"/>
    <s v="North"/>
    <n v="942.08"/>
    <n v="2"/>
    <n v="385.58"/>
    <n v="556.5"/>
  </r>
  <r>
    <x v="139"/>
    <d v="2024-05-27T00:00:00"/>
    <s v="2024"/>
    <s v="May"/>
    <x v="2"/>
    <x v="3"/>
    <x v="0"/>
    <s v="North"/>
    <n v="4128.41"/>
    <n v="9"/>
    <n v="405.16"/>
    <n v="3723.25"/>
  </r>
  <r>
    <x v="140"/>
    <d v="2023-11-27T00:00:00"/>
    <s v="2023"/>
    <s v="November"/>
    <x v="3"/>
    <x v="1"/>
    <x v="0"/>
    <s v="South"/>
    <n v="2446.84"/>
    <n v="10"/>
    <n v="215.29"/>
    <n v="2231.5500000000002"/>
  </r>
  <r>
    <x v="141"/>
    <d v="2024-11-19T00:00:00"/>
    <s v="2024"/>
    <s v="November"/>
    <x v="3"/>
    <x v="0"/>
    <x v="0"/>
    <s v="East"/>
    <n v="3298.6"/>
    <n v="5"/>
    <n v="469.47"/>
    <n v="2829.13"/>
  </r>
  <r>
    <x v="142"/>
    <d v="2024-06-15T00:00:00"/>
    <s v="2024"/>
    <s v="June"/>
    <x v="2"/>
    <x v="2"/>
    <x v="1"/>
    <s v="South"/>
    <n v="6890.55"/>
    <n v="8"/>
    <n v="734.54"/>
    <n v="6156.01"/>
  </r>
  <r>
    <x v="143"/>
    <d v="2024-10-12T00:00:00"/>
    <s v="2024"/>
    <s v="October"/>
    <x v="3"/>
    <x v="5"/>
    <x v="1"/>
    <s v="South"/>
    <n v="7994.49"/>
    <n v="8"/>
    <n v="775.86"/>
    <n v="7218.63"/>
  </r>
  <r>
    <x v="144"/>
    <d v="2023-11-25T00:00:00"/>
    <s v="2023"/>
    <s v="November"/>
    <x v="3"/>
    <x v="3"/>
    <x v="0"/>
    <s v="North"/>
    <n v="1697.66"/>
    <n v="2"/>
    <n v="689.03"/>
    <n v="1008.6300000000001"/>
  </r>
  <r>
    <x v="145"/>
    <d v="2023-10-23T00:00:00"/>
    <s v="2023"/>
    <s v="October"/>
    <x v="3"/>
    <x v="0"/>
    <x v="0"/>
    <s v="South"/>
    <n v="6048.5"/>
    <n v="7"/>
    <n v="654.58000000000004"/>
    <n v="5393.92"/>
  </r>
  <r>
    <x v="146"/>
    <d v="2023-11-19T00:00:00"/>
    <s v="2023"/>
    <s v="November"/>
    <x v="3"/>
    <x v="3"/>
    <x v="0"/>
    <s v="East"/>
    <n v="2024.9"/>
    <n v="5"/>
    <n v="272.14999999999998"/>
    <n v="1752.75"/>
  </r>
  <r>
    <x v="147"/>
    <d v="2024-11-04T00:00:00"/>
    <s v="2024"/>
    <s v="November"/>
    <x v="3"/>
    <x v="3"/>
    <x v="0"/>
    <s v="East"/>
    <n v="3839.58"/>
    <n v="9"/>
    <n v="380.34"/>
    <n v="3459.24"/>
  </r>
  <r>
    <x v="148"/>
    <d v="2024-09-29T00:00:00"/>
    <s v="2024"/>
    <s v="September"/>
    <x v="1"/>
    <x v="5"/>
    <x v="1"/>
    <s v="North"/>
    <n v="5703.82"/>
    <n v="8"/>
    <n v="507.82"/>
    <n v="5196"/>
  </r>
  <r>
    <x v="149"/>
    <d v="2024-07-16T00:00:00"/>
    <s v="2024"/>
    <s v="July"/>
    <x v="1"/>
    <x v="2"/>
    <x v="1"/>
    <s v="North"/>
    <n v="2844.74"/>
    <n v="3"/>
    <n v="743.58"/>
    <n v="2101.16"/>
  </r>
  <r>
    <x v="150"/>
    <d v="2023-05-05T00:00:00"/>
    <s v="2023"/>
    <s v="May"/>
    <x v="2"/>
    <x v="0"/>
    <x v="0"/>
    <s v="South"/>
    <n v="1046.69"/>
    <n v="1"/>
    <n v="779.05"/>
    <n v="267.6400000000001"/>
  </r>
  <r>
    <x v="151"/>
    <d v="2023-11-15T00:00:00"/>
    <s v="2023"/>
    <s v="November"/>
    <x v="3"/>
    <x v="2"/>
    <x v="1"/>
    <s v="West"/>
    <n v="348.68"/>
    <n v="9"/>
    <n v="30.67"/>
    <n v="318.01"/>
  </r>
  <r>
    <x v="152"/>
    <d v="2024-04-17T00:00:00"/>
    <s v="2024"/>
    <s v="April"/>
    <x v="2"/>
    <x v="2"/>
    <x v="1"/>
    <s v="East"/>
    <n v="1220.1600000000001"/>
    <n v="2"/>
    <n v="525.21"/>
    <n v="694.95"/>
  </r>
  <r>
    <x v="153"/>
    <d v="2024-06-05T00:00:00"/>
    <s v="2024"/>
    <s v="June"/>
    <x v="2"/>
    <x v="0"/>
    <x v="0"/>
    <s v="North"/>
    <n v="2224.48"/>
    <n v="5"/>
    <n v="344.08"/>
    <n v="1880.4"/>
  </r>
  <r>
    <x v="154"/>
    <d v="2024-04-12T00:00:00"/>
    <s v="2024"/>
    <s v="April"/>
    <x v="2"/>
    <x v="3"/>
    <x v="0"/>
    <s v="West"/>
    <n v="1406.06"/>
    <n v="9"/>
    <n v="132.82"/>
    <n v="1273.24"/>
  </r>
  <r>
    <x v="155"/>
    <d v="2023-03-13T00:00:00"/>
    <s v="2023"/>
    <s v="March"/>
    <x v="0"/>
    <x v="5"/>
    <x v="1"/>
    <s v="West"/>
    <n v="4488.8599999999997"/>
    <n v="5"/>
    <n v="622.69000000000005"/>
    <n v="3866.1699999999996"/>
  </r>
  <r>
    <x v="156"/>
    <d v="2023-01-03T00:00:00"/>
    <s v="2023"/>
    <s v="January"/>
    <x v="0"/>
    <x v="4"/>
    <x v="1"/>
    <s v="North"/>
    <n v="4206.82"/>
    <n v="5"/>
    <n v="586.32000000000005"/>
    <n v="3620.4999999999995"/>
  </r>
  <r>
    <x v="157"/>
    <d v="2023-06-02T00:00:00"/>
    <s v="2023"/>
    <s v="June"/>
    <x v="2"/>
    <x v="5"/>
    <x v="1"/>
    <s v="South"/>
    <n v="4358.83"/>
    <n v="8"/>
    <n v="440.09"/>
    <n v="3918.74"/>
  </r>
  <r>
    <x v="158"/>
    <d v="2024-04-11T00:00:00"/>
    <s v="2024"/>
    <s v="April"/>
    <x v="2"/>
    <x v="5"/>
    <x v="1"/>
    <s v="South"/>
    <n v="6252.39"/>
    <n v="6"/>
    <n v="698.29"/>
    <n v="5554.1"/>
  </r>
  <r>
    <x v="159"/>
    <d v="2023-08-28T00:00:00"/>
    <s v="2023"/>
    <s v="August"/>
    <x v="1"/>
    <x v="2"/>
    <x v="1"/>
    <s v="South"/>
    <n v="528.79"/>
    <n v="7"/>
    <n v="54.04"/>
    <n v="474.74999999999994"/>
  </r>
  <r>
    <x v="160"/>
    <d v="2024-01-31T00:00:00"/>
    <s v="2024"/>
    <s v="January"/>
    <x v="0"/>
    <x v="0"/>
    <x v="0"/>
    <s v="South"/>
    <n v="1359.04"/>
    <n v="3"/>
    <n v="406.36"/>
    <n v="952.68"/>
  </r>
  <r>
    <x v="161"/>
    <d v="2023-04-13T00:00:00"/>
    <s v="2023"/>
    <s v="April"/>
    <x v="2"/>
    <x v="5"/>
    <x v="1"/>
    <s v="North"/>
    <n v="1145.3399999999999"/>
    <n v="8"/>
    <n v="97.78"/>
    <n v="1047.56"/>
  </r>
  <r>
    <x v="162"/>
    <d v="2024-02-24T00:00:00"/>
    <s v="2024"/>
    <s v="February"/>
    <x v="0"/>
    <x v="1"/>
    <x v="0"/>
    <s v="West"/>
    <n v="332.12"/>
    <n v="3"/>
    <n v="78.37"/>
    <n v="253.75"/>
  </r>
  <r>
    <x v="163"/>
    <d v="2024-09-30T00:00:00"/>
    <s v="2024"/>
    <s v="September"/>
    <x v="1"/>
    <x v="4"/>
    <x v="1"/>
    <s v="North"/>
    <n v="5313.45"/>
    <n v="7"/>
    <n v="526.87"/>
    <n v="4786.58"/>
  </r>
  <r>
    <x v="164"/>
    <d v="2023-11-21T00:00:00"/>
    <s v="2023"/>
    <s v="November"/>
    <x v="3"/>
    <x v="0"/>
    <x v="0"/>
    <s v="South"/>
    <n v="6244.51"/>
    <n v="8"/>
    <n v="700.46"/>
    <n v="5544.05"/>
  </r>
  <r>
    <x v="165"/>
    <d v="2024-10-08T00:00:00"/>
    <s v="2024"/>
    <s v="October"/>
    <x v="3"/>
    <x v="1"/>
    <x v="0"/>
    <s v="West"/>
    <n v="5580.77"/>
    <n v="5"/>
    <n v="797.99"/>
    <n v="4782.7800000000007"/>
  </r>
  <r>
    <x v="166"/>
    <d v="2024-10-10T00:00:00"/>
    <s v="2024"/>
    <s v="October"/>
    <x v="3"/>
    <x v="3"/>
    <x v="0"/>
    <s v="East"/>
    <n v="1008.6"/>
    <n v="2"/>
    <n v="366.07"/>
    <n v="642.53"/>
  </r>
  <r>
    <x v="167"/>
    <d v="2023-11-29T00:00:00"/>
    <s v="2023"/>
    <s v="November"/>
    <x v="3"/>
    <x v="1"/>
    <x v="0"/>
    <s v="East"/>
    <n v="311.02"/>
    <n v="1"/>
    <n v="248.83"/>
    <n v="62.189999999999969"/>
  </r>
  <r>
    <x v="168"/>
    <d v="2024-06-27T00:00:00"/>
    <s v="2024"/>
    <s v="June"/>
    <x v="2"/>
    <x v="2"/>
    <x v="1"/>
    <s v="West"/>
    <n v="4576.8500000000004"/>
    <n v="7"/>
    <n v="461.42"/>
    <n v="4115.43"/>
  </r>
  <r>
    <x v="169"/>
    <d v="2023-03-22T00:00:00"/>
    <s v="2023"/>
    <s v="March"/>
    <x v="0"/>
    <x v="2"/>
    <x v="1"/>
    <s v="West"/>
    <n v="9425.08"/>
    <n v="10"/>
    <n v="699.25"/>
    <n v="8725.83"/>
  </r>
  <r>
    <x v="170"/>
    <d v="2024-08-20T00:00:00"/>
    <s v="2024"/>
    <s v="August"/>
    <x v="1"/>
    <x v="2"/>
    <x v="1"/>
    <s v="South"/>
    <n v="817.61"/>
    <n v="3"/>
    <n v="201.11"/>
    <n v="616.5"/>
  </r>
  <r>
    <x v="171"/>
    <d v="2024-11-13T00:00:00"/>
    <s v="2024"/>
    <s v="November"/>
    <x v="3"/>
    <x v="3"/>
    <x v="0"/>
    <s v="North"/>
    <n v="927.47"/>
    <n v="1"/>
    <n v="721.15"/>
    <n v="206.32000000000005"/>
  </r>
  <r>
    <x v="172"/>
    <d v="2023-03-17T00:00:00"/>
    <s v="2023"/>
    <s v="March"/>
    <x v="0"/>
    <x v="4"/>
    <x v="1"/>
    <s v="West"/>
    <n v="9057.44"/>
    <n v="8"/>
    <n v="757.28"/>
    <n v="8300.16"/>
  </r>
  <r>
    <x v="173"/>
    <d v="2024-12-07T00:00:00"/>
    <s v="2024"/>
    <s v="December"/>
    <x v="3"/>
    <x v="4"/>
    <x v="1"/>
    <s v="South"/>
    <n v="2297.21"/>
    <n v="5"/>
    <n v="376.33"/>
    <n v="1920.88"/>
  </r>
  <r>
    <x v="174"/>
    <d v="2023-04-20T00:00:00"/>
    <s v="2023"/>
    <s v="April"/>
    <x v="2"/>
    <x v="3"/>
    <x v="0"/>
    <s v="South"/>
    <n v="1579.15"/>
    <n v="4"/>
    <n v="317.45999999999998"/>
    <n v="1261.69"/>
  </r>
  <r>
    <x v="175"/>
    <d v="2023-01-23T00:00:00"/>
    <s v="2023"/>
    <s v="January"/>
    <x v="0"/>
    <x v="4"/>
    <x v="1"/>
    <s v="North"/>
    <n v="2173.4299999999998"/>
    <n v="7"/>
    <n v="234.09"/>
    <n v="1939.34"/>
  </r>
  <r>
    <x v="176"/>
    <d v="2024-09-12T00:00:00"/>
    <s v="2024"/>
    <s v="September"/>
    <x v="1"/>
    <x v="0"/>
    <x v="0"/>
    <s v="East"/>
    <n v="7827.33"/>
    <n v="8"/>
    <n v="669.61"/>
    <n v="7157.72"/>
  </r>
  <r>
    <x v="177"/>
    <d v="2023-08-13T00:00:00"/>
    <s v="2023"/>
    <s v="August"/>
    <x v="1"/>
    <x v="2"/>
    <x v="1"/>
    <s v="North"/>
    <n v="2765.79"/>
    <n v="4"/>
    <n v="504.3"/>
    <n v="2261.4899999999998"/>
  </r>
  <r>
    <x v="178"/>
    <d v="2024-10-05T00:00:00"/>
    <s v="2024"/>
    <s v="October"/>
    <x v="3"/>
    <x v="0"/>
    <x v="0"/>
    <s v="West"/>
    <n v="1968.93"/>
    <n v="2"/>
    <n v="724.65"/>
    <n v="1244.2800000000002"/>
  </r>
  <r>
    <x v="179"/>
    <d v="2023-02-04T00:00:00"/>
    <s v="2023"/>
    <s v="February"/>
    <x v="0"/>
    <x v="4"/>
    <x v="1"/>
    <s v="South"/>
    <n v="3510.6"/>
    <n v="10"/>
    <n v="304.58999999999997"/>
    <n v="3206.0099999999998"/>
  </r>
  <r>
    <x v="180"/>
    <d v="2024-03-01T00:00:00"/>
    <s v="2024"/>
    <s v="March"/>
    <x v="0"/>
    <x v="4"/>
    <x v="1"/>
    <s v="North"/>
    <n v="749.54"/>
    <n v="3"/>
    <n v="176.62"/>
    <n v="572.91999999999996"/>
  </r>
  <r>
    <x v="181"/>
    <d v="2023-06-18T00:00:00"/>
    <s v="2023"/>
    <s v="June"/>
    <x v="2"/>
    <x v="4"/>
    <x v="1"/>
    <s v="North"/>
    <n v="5415.38"/>
    <n v="5"/>
    <n v="732.96"/>
    <n v="4682.42"/>
  </r>
  <r>
    <x v="182"/>
    <d v="2023-04-28T00:00:00"/>
    <s v="2023"/>
    <s v="April"/>
    <x v="2"/>
    <x v="4"/>
    <x v="1"/>
    <s v="North"/>
    <n v="7132.63"/>
    <n v="8"/>
    <n v="771.06"/>
    <n v="6361.57"/>
  </r>
  <r>
    <x v="183"/>
    <d v="2024-07-24T00:00:00"/>
    <s v="2024"/>
    <s v="July"/>
    <x v="1"/>
    <x v="2"/>
    <x v="1"/>
    <s v="South"/>
    <n v="682.55"/>
    <n v="6"/>
    <n v="90.44"/>
    <n v="592.1099999999999"/>
  </r>
  <r>
    <x v="184"/>
    <d v="2024-04-10T00:00:00"/>
    <s v="2024"/>
    <s v="April"/>
    <x v="2"/>
    <x v="4"/>
    <x v="1"/>
    <s v="East"/>
    <n v="4474.8599999999997"/>
    <n v="6"/>
    <n v="544.80999999999995"/>
    <n v="3930.0499999999997"/>
  </r>
  <r>
    <x v="185"/>
    <d v="2024-10-15T00:00:00"/>
    <s v="2024"/>
    <s v="October"/>
    <x v="3"/>
    <x v="5"/>
    <x v="1"/>
    <s v="South"/>
    <n v="748.41"/>
    <n v="6"/>
    <n v="104.51"/>
    <n v="643.9"/>
  </r>
  <r>
    <x v="186"/>
    <d v="2024-09-16T00:00:00"/>
    <s v="2024"/>
    <s v="September"/>
    <x v="1"/>
    <x v="1"/>
    <x v="0"/>
    <s v="North"/>
    <n v="2844.66"/>
    <n v="4"/>
    <n v="525.16999999999996"/>
    <n v="2319.4899999999998"/>
  </r>
  <r>
    <x v="187"/>
    <d v="2024-10-26T00:00:00"/>
    <s v="2024"/>
    <s v="October"/>
    <x v="3"/>
    <x v="3"/>
    <x v="0"/>
    <s v="North"/>
    <n v="868.87"/>
    <n v="7"/>
    <n v="111.01"/>
    <n v="757.86"/>
  </r>
  <r>
    <x v="188"/>
    <d v="2024-05-19T00:00:00"/>
    <s v="2024"/>
    <s v="May"/>
    <x v="2"/>
    <x v="1"/>
    <x v="0"/>
    <s v="North"/>
    <n v="278.79000000000002"/>
    <n v="2"/>
    <n v="95.81"/>
    <n v="182.98000000000002"/>
  </r>
  <r>
    <x v="189"/>
    <d v="2024-04-09T00:00:00"/>
    <s v="2024"/>
    <s v="April"/>
    <x v="2"/>
    <x v="2"/>
    <x v="1"/>
    <s v="South"/>
    <n v="4552.09"/>
    <n v="6"/>
    <n v="542.98"/>
    <n v="4009.11"/>
  </r>
  <r>
    <x v="190"/>
    <d v="2024-08-24T00:00:00"/>
    <s v="2024"/>
    <s v="August"/>
    <x v="1"/>
    <x v="5"/>
    <x v="1"/>
    <s v="South"/>
    <n v="2903.53"/>
    <n v="3"/>
    <n v="710.62"/>
    <n v="2192.9100000000003"/>
  </r>
  <r>
    <x v="191"/>
    <d v="2023-10-14T00:00:00"/>
    <s v="2023"/>
    <s v="October"/>
    <x v="3"/>
    <x v="3"/>
    <x v="0"/>
    <s v="South"/>
    <n v="662.79"/>
    <n v="1"/>
    <n v="558.41999999999996"/>
    <n v="104.37"/>
  </r>
  <r>
    <x v="192"/>
    <d v="2024-01-07T00:00:00"/>
    <s v="2024"/>
    <s v="January"/>
    <x v="0"/>
    <x v="3"/>
    <x v="0"/>
    <s v="West"/>
    <n v="1957.99"/>
    <n v="2"/>
    <n v="785.12"/>
    <n v="1172.8699999999999"/>
  </r>
  <r>
    <x v="193"/>
    <d v="2023-03-04T00:00:00"/>
    <s v="2023"/>
    <s v="March"/>
    <x v="0"/>
    <x v="0"/>
    <x v="0"/>
    <s v="North"/>
    <n v="2448.56"/>
    <n v="7"/>
    <n v="235.19"/>
    <n v="2213.37"/>
  </r>
  <r>
    <x v="194"/>
    <d v="2024-11-09T00:00:00"/>
    <s v="2024"/>
    <s v="November"/>
    <x v="3"/>
    <x v="3"/>
    <x v="0"/>
    <s v="East"/>
    <n v="2787.66"/>
    <n v="4"/>
    <n v="520.53"/>
    <n v="2267.13"/>
  </r>
  <r>
    <x v="195"/>
    <d v="2023-12-08T00:00:00"/>
    <s v="2023"/>
    <s v="December"/>
    <x v="3"/>
    <x v="1"/>
    <x v="0"/>
    <s v="East"/>
    <n v="4477.9799999999996"/>
    <n v="4"/>
    <n v="791.28"/>
    <n v="3686.7"/>
  </r>
  <r>
    <x v="196"/>
    <d v="2024-07-21T00:00:00"/>
    <s v="2024"/>
    <s v="July"/>
    <x v="1"/>
    <x v="2"/>
    <x v="1"/>
    <s v="East"/>
    <n v="2721.49"/>
    <n v="4"/>
    <n v="477.38"/>
    <n v="2244.1099999999997"/>
  </r>
  <r>
    <x v="197"/>
    <d v="2023-06-01T00:00:00"/>
    <s v="2023"/>
    <s v="June"/>
    <x v="2"/>
    <x v="2"/>
    <x v="1"/>
    <s v="North"/>
    <n v="320.57"/>
    <n v="10"/>
    <n v="22.21"/>
    <n v="298.36"/>
  </r>
  <r>
    <x v="198"/>
    <d v="2024-07-07T00:00:00"/>
    <s v="2024"/>
    <s v="July"/>
    <x v="1"/>
    <x v="2"/>
    <x v="1"/>
    <s v="West"/>
    <n v="3676.95"/>
    <n v="5"/>
    <n v="642.84"/>
    <n v="3034.1099999999997"/>
  </r>
  <r>
    <x v="199"/>
    <d v="2023-01-16T00:00:00"/>
    <s v="2023"/>
    <s v="January"/>
    <x v="0"/>
    <x v="1"/>
    <x v="0"/>
    <s v="West"/>
    <n v="4562.1400000000003"/>
    <n v="6"/>
    <n v="636.19000000000005"/>
    <n v="3925.9500000000003"/>
  </r>
  <r>
    <x v="200"/>
    <d v="2023-06-28T00:00:00"/>
    <s v="2023"/>
    <s v="June"/>
    <x v="2"/>
    <x v="4"/>
    <x v="1"/>
    <s v="East"/>
    <n v="425.08"/>
    <n v="5"/>
    <n v="60.87"/>
    <n v="364.21"/>
  </r>
  <r>
    <x v="201"/>
    <d v="2023-03-07T00:00:00"/>
    <s v="2023"/>
    <s v="March"/>
    <x v="0"/>
    <x v="5"/>
    <x v="1"/>
    <s v="East"/>
    <n v="3681.17"/>
    <n v="8"/>
    <n v="369.65"/>
    <n v="3311.52"/>
  </r>
  <r>
    <x v="202"/>
    <d v="2024-04-07T00:00:00"/>
    <s v="2024"/>
    <s v="April"/>
    <x v="2"/>
    <x v="5"/>
    <x v="1"/>
    <s v="East"/>
    <n v="2335.77"/>
    <n v="9"/>
    <n v="192.81"/>
    <n v="2142.96"/>
  </r>
  <r>
    <x v="203"/>
    <d v="2024-04-14T00:00:00"/>
    <s v="2024"/>
    <s v="April"/>
    <x v="2"/>
    <x v="0"/>
    <x v="0"/>
    <s v="North"/>
    <n v="87.11"/>
    <n v="1"/>
    <n v="67.44"/>
    <n v="19.670000000000002"/>
  </r>
  <r>
    <x v="204"/>
    <d v="2024-12-03T00:00:00"/>
    <s v="2024"/>
    <s v="December"/>
    <x v="3"/>
    <x v="3"/>
    <x v="0"/>
    <s v="South"/>
    <n v="1178.1600000000001"/>
    <n v="2"/>
    <n v="402.41"/>
    <n v="775.75"/>
  </r>
  <r>
    <x v="205"/>
    <d v="2023-11-26T00:00:00"/>
    <s v="2023"/>
    <s v="November"/>
    <x v="3"/>
    <x v="1"/>
    <x v="0"/>
    <s v="East"/>
    <n v="1561.2"/>
    <n v="10"/>
    <n v="135.69999999999999"/>
    <n v="1425.5"/>
  </r>
  <r>
    <x v="206"/>
    <d v="2024-01-26T00:00:00"/>
    <s v="2024"/>
    <s v="January"/>
    <x v="0"/>
    <x v="5"/>
    <x v="1"/>
    <s v="North"/>
    <n v="5559.47"/>
    <n v="10"/>
    <n v="433.83"/>
    <n v="5125.6400000000003"/>
  </r>
  <r>
    <x v="207"/>
    <d v="2023-04-12T00:00:00"/>
    <s v="2023"/>
    <s v="April"/>
    <x v="2"/>
    <x v="5"/>
    <x v="1"/>
    <s v="South"/>
    <n v="1864.19"/>
    <n v="2"/>
    <n v="685.18"/>
    <n v="1179.0100000000002"/>
  </r>
  <r>
    <x v="208"/>
    <d v="2024-03-16T00:00:00"/>
    <s v="2024"/>
    <s v="March"/>
    <x v="0"/>
    <x v="5"/>
    <x v="1"/>
    <s v="West"/>
    <n v="7215.62"/>
    <n v="8"/>
    <n v="712.71"/>
    <n v="6502.91"/>
  </r>
  <r>
    <x v="209"/>
    <d v="2024-03-01T00:00:00"/>
    <s v="2024"/>
    <s v="March"/>
    <x v="0"/>
    <x v="3"/>
    <x v="0"/>
    <s v="South"/>
    <n v="646.29"/>
    <n v="2"/>
    <n v="263.79000000000002"/>
    <n v="382.49999999999994"/>
  </r>
  <r>
    <x v="210"/>
    <d v="2023-06-06T00:00:00"/>
    <s v="2023"/>
    <s v="June"/>
    <x v="2"/>
    <x v="4"/>
    <x v="1"/>
    <s v="North"/>
    <n v="829.37"/>
    <n v="8"/>
    <n v="72.36"/>
    <n v="757.01"/>
  </r>
  <r>
    <x v="211"/>
    <d v="2023-04-09T00:00:00"/>
    <s v="2023"/>
    <s v="April"/>
    <x v="2"/>
    <x v="1"/>
    <x v="0"/>
    <s v="South"/>
    <n v="5183.17"/>
    <n v="6"/>
    <n v="653.17999999999995"/>
    <n v="4529.99"/>
  </r>
  <r>
    <x v="212"/>
    <d v="2024-11-17T00:00:00"/>
    <s v="2024"/>
    <s v="November"/>
    <x v="3"/>
    <x v="5"/>
    <x v="1"/>
    <s v="North"/>
    <n v="986.87"/>
    <n v="2"/>
    <n v="340.43"/>
    <n v="646.44000000000005"/>
  </r>
  <r>
    <x v="213"/>
    <d v="2023-10-22T00:00:00"/>
    <s v="2023"/>
    <s v="October"/>
    <x v="3"/>
    <x v="3"/>
    <x v="0"/>
    <s v="East"/>
    <n v="3010.09"/>
    <n v="10"/>
    <n v="263.70999999999998"/>
    <n v="2746.38"/>
  </r>
  <r>
    <x v="214"/>
    <d v="2023-06-08T00:00:00"/>
    <s v="2023"/>
    <s v="June"/>
    <x v="2"/>
    <x v="5"/>
    <x v="1"/>
    <s v="West"/>
    <n v="1782.71"/>
    <n v="8"/>
    <n v="194.91"/>
    <n v="1587.8"/>
  </r>
  <r>
    <x v="215"/>
    <d v="2023-04-28T00:00:00"/>
    <s v="2023"/>
    <s v="April"/>
    <x v="2"/>
    <x v="5"/>
    <x v="1"/>
    <s v="North"/>
    <n v="3328.14"/>
    <n v="5"/>
    <n v="467.8"/>
    <n v="2860.3399999999997"/>
  </r>
  <r>
    <x v="216"/>
    <d v="2024-09-15T00:00:00"/>
    <s v="2024"/>
    <s v="September"/>
    <x v="1"/>
    <x v="5"/>
    <x v="1"/>
    <s v="East"/>
    <n v="257.45999999999998"/>
    <n v="5"/>
    <n v="42.58"/>
    <n v="214.88"/>
  </r>
  <r>
    <x v="217"/>
    <d v="2023-12-26T00:00:00"/>
    <s v="2023"/>
    <s v="December"/>
    <x v="3"/>
    <x v="4"/>
    <x v="1"/>
    <s v="North"/>
    <n v="186.9"/>
    <n v="1"/>
    <n v="161.5"/>
    <n v="25.400000000000006"/>
  </r>
  <r>
    <x v="218"/>
    <d v="2023-03-13T00:00:00"/>
    <s v="2023"/>
    <s v="March"/>
    <x v="0"/>
    <x v="0"/>
    <x v="0"/>
    <s v="South"/>
    <n v="2670.59"/>
    <n v="3"/>
    <n v="597.96"/>
    <n v="2072.63"/>
  </r>
  <r>
    <x v="219"/>
    <d v="2024-01-21T00:00:00"/>
    <s v="2024"/>
    <s v="January"/>
    <x v="0"/>
    <x v="1"/>
    <x v="0"/>
    <s v="West"/>
    <n v="3043.34"/>
    <n v="7"/>
    <n v="373.84"/>
    <n v="2669.5"/>
  </r>
  <r>
    <x v="220"/>
    <d v="2024-08-04T00:00:00"/>
    <s v="2024"/>
    <s v="August"/>
    <x v="1"/>
    <x v="4"/>
    <x v="1"/>
    <s v="North"/>
    <n v="967.12"/>
    <n v="10"/>
    <n v="86.27"/>
    <n v="880.85"/>
  </r>
  <r>
    <x v="221"/>
    <d v="2024-11-21T00:00:00"/>
    <s v="2024"/>
    <s v="November"/>
    <x v="3"/>
    <x v="2"/>
    <x v="1"/>
    <s v="East"/>
    <n v="633.91"/>
    <n v="2"/>
    <n v="232.24"/>
    <n v="401.66999999999996"/>
  </r>
  <r>
    <x v="222"/>
    <d v="2024-02-29T00:00:00"/>
    <s v="2024"/>
    <s v="February"/>
    <x v="0"/>
    <x v="3"/>
    <x v="0"/>
    <s v="South"/>
    <n v="1227.56"/>
    <n v="5"/>
    <n v="188.14"/>
    <n v="1039.42"/>
  </r>
  <r>
    <x v="223"/>
    <d v="2023-04-24T00:00:00"/>
    <s v="2023"/>
    <s v="April"/>
    <x v="2"/>
    <x v="4"/>
    <x v="1"/>
    <s v="South"/>
    <n v="3670.83"/>
    <n v="5"/>
    <n v="549.01"/>
    <n v="3121.8199999999997"/>
  </r>
  <r>
    <x v="224"/>
    <d v="2023-02-16T00:00:00"/>
    <s v="2023"/>
    <s v="February"/>
    <x v="0"/>
    <x v="5"/>
    <x v="1"/>
    <s v="North"/>
    <n v="1759.39"/>
    <n v="4"/>
    <n v="328.31"/>
    <n v="1431.0800000000002"/>
  </r>
  <r>
    <x v="225"/>
    <d v="2023-11-05T00:00:00"/>
    <s v="2023"/>
    <s v="November"/>
    <x v="3"/>
    <x v="1"/>
    <x v="0"/>
    <s v="West"/>
    <n v="3477.78"/>
    <n v="4"/>
    <n v="618.53"/>
    <n v="2859.25"/>
  </r>
  <r>
    <x v="226"/>
    <d v="2023-05-03T00:00:00"/>
    <s v="2023"/>
    <s v="May"/>
    <x v="2"/>
    <x v="4"/>
    <x v="1"/>
    <s v="North"/>
    <n v="519.03"/>
    <n v="1"/>
    <n v="407.96"/>
    <n v="111.07"/>
  </r>
  <r>
    <x v="227"/>
    <d v="2024-06-29T00:00:00"/>
    <s v="2024"/>
    <s v="June"/>
    <x v="2"/>
    <x v="2"/>
    <x v="1"/>
    <s v="South"/>
    <n v="2351.83"/>
    <n v="4"/>
    <n v="410.2"/>
    <n v="1941.6299999999999"/>
  </r>
  <r>
    <x v="228"/>
    <d v="2024-02-11T00:00:00"/>
    <s v="2024"/>
    <s v="February"/>
    <x v="0"/>
    <x v="4"/>
    <x v="1"/>
    <s v="East"/>
    <n v="462.53"/>
    <n v="1"/>
    <n v="360.25"/>
    <n v="102.27999999999997"/>
  </r>
  <r>
    <x v="229"/>
    <d v="2024-08-12T00:00:00"/>
    <s v="2024"/>
    <s v="August"/>
    <x v="1"/>
    <x v="1"/>
    <x v="0"/>
    <s v="North"/>
    <n v="4526.0600000000004"/>
    <n v="7"/>
    <n v="467.25"/>
    <n v="4058.8100000000004"/>
  </r>
  <r>
    <x v="230"/>
    <d v="2023-04-28T00:00:00"/>
    <s v="2023"/>
    <s v="April"/>
    <x v="2"/>
    <x v="3"/>
    <x v="0"/>
    <s v="North"/>
    <n v="312.26"/>
    <n v="7"/>
    <n v="36.270000000000003"/>
    <n v="275.99"/>
  </r>
  <r>
    <x v="231"/>
    <d v="2024-12-07T00:00:00"/>
    <s v="2024"/>
    <s v="December"/>
    <x v="3"/>
    <x v="5"/>
    <x v="1"/>
    <s v="South"/>
    <n v="765.54"/>
    <n v="6"/>
    <n v="88.74"/>
    <n v="676.8"/>
  </r>
  <r>
    <x v="232"/>
    <d v="2024-08-26T00:00:00"/>
    <s v="2024"/>
    <s v="August"/>
    <x v="1"/>
    <x v="2"/>
    <x v="1"/>
    <s v="South"/>
    <n v="3775.96"/>
    <n v="7"/>
    <n v="428.69"/>
    <n v="3347.27"/>
  </r>
  <r>
    <x v="233"/>
    <d v="2023-08-15T00:00:00"/>
    <s v="2023"/>
    <s v="August"/>
    <x v="1"/>
    <x v="4"/>
    <x v="1"/>
    <s v="North"/>
    <n v="4257.95"/>
    <n v="6"/>
    <n v="627.71"/>
    <n v="3630.24"/>
  </r>
  <r>
    <x v="234"/>
    <d v="2024-06-27T00:00:00"/>
    <s v="2024"/>
    <s v="June"/>
    <x v="2"/>
    <x v="0"/>
    <x v="0"/>
    <s v="East"/>
    <n v="2173.79"/>
    <n v="9"/>
    <n v="171.24"/>
    <n v="2002.55"/>
  </r>
  <r>
    <x v="235"/>
    <d v="2023-08-30T00:00:00"/>
    <s v="2023"/>
    <s v="August"/>
    <x v="1"/>
    <x v="4"/>
    <x v="1"/>
    <s v="West"/>
    <n v="316.49"/>
    <n v="2"/>
    <n v="134.22999999999999"/>
    <n v="182.26000000000002"/>
  </r>
  <r>
    <x v="236"/>
    <d v="2024-11-02T00:00:00"/>
    <s v="2024"/>
    <s v="November"/>
    <x v="3"/>
    <x v="5"/>
    <x v="1"/>
    <s v="West"/>
    <n v="445.77"/>
    <n v="2"/>
    <n v="158.16999999999999"/>
    <n v="287.60000000000002"/>
  </r>
  <r>
    <x v="237"/>
    <d v="2024-07-31T00:00:00"/>
    <s v="2024"/>
    <s v="July"/>
    <x v="1"/>
    <x v="3"/>
    <x v="0"/>
    <s v="South"/>
    <n v="5439.95"/>
    <n v="10"/>
    <n v="370.15"/>
    <n v="5069.8"/>
  </r>
  <r>
    <x v="238"/>
    <d v="2024-10-04T00:00:00"/>
    <s v="2024"/>
    <s v="October"/>
    <x v="3"/>
    <x v="5"/>
    <x v="1"/>
    <s v="North"/>
    <n v="931.73"/>
    <n v="6"/>
    <n v="137.75"/>
    <n v="793.98"/>
  </r>
  <r>
    <x v="239"/>
    <d v="2023-10-09T00:00:00"/>
    <s v="2023"/>
    <s v="October"/>
    <x v="3"/>
    <x v="3"/>
    <x v="0"/>
    <s v="North"/>
    <n v="831.4"/>
    <n v="10"/>
    <n v="63.81"/>
    <n v="767.58999999999992"/>
  </r>
  <r>
    <x v="240"/>
    <d v="2024-04-07T00:00:00"/>
    <s v="2024"/>
    <s v="April"/>
    <x v="2"/>
    <x v="4"/>
    <x v="1"/>
    <s v="South"/>
    <n v="92.22"/>
    <n v="1"/>
    <n v="64.37"/>
    <n v="27.849999999999994"/>
  </r>
  <r>
    <x v="241"/>
    <d v="2024-09-21T00:00:00"/>
    <s v="2024"/>
    <s v="September"/>
    <x v="1"/>
    <x v="1"/>
    <x v="0"/>
    <s v="East"/>
    <n v="5339.66"/>
    <n v="10"/>
    <n v="415.51"/>
    <n v="4924.1499999999996"/>
  </r>
  <r>
    <x v="242"/>
    <d v="2024-04-05T00:00:00"/>
    <s v="2024"/>
    <s v="April"/>
    <x v="2"/>
    <x v="5"/>
    <x v="1"/>
    <s v="East"/>
    <n v="6492.35"/>
    <n v="10"/>
    <n v="528.42999999999995"/>
    <n v="5963.92"/>
  </r>
  <r>
    <x v="243"/>
    <d v="2023-03-05T00:00:00"/>
    <s v="2023"/>
    <s v="March"/>
    <x v="0"/>
    <x v="3"/>
    <x v="0"/>
    <s v="West"/>
    <n v="1176.24"/>
    <n v="8"/>
    <n v="100.73"/>
    <n v="1075.51"/>
  </r>
  <r>
    <x v="244"/>
    <d v="2024-05-31T00:00:00"/>
    <s v="2024"/>
    <s v="May"/>
    <x v="2"/>
    <x v="4"/>
    <x v="1"/>
    <s v="East"/>
    <n v="209.66"/>
    <n v="3"/>
    <n v="50.53"/>
    <n v="159.13"/>
  </r>
  <r>
    <x v="245"/>
    <d v="2024-01-08T00:00:00"/>
    <s v="2024"/>
    <s v="January"/>
    <x v="0"/>
    <x v="3"/>
    <x v="0"/>
    <s v="West"/>
    <n v="5541.86"/>
    <n v="6"/>
    <n v="735.99"/>
    <n v="4805.87"/>
  </r>
  <r>
    <x v="246"/>
    <d v="2024-10-08T00:00:00"/>
    <s v="2024"/>
    <s v="October"/>
    <x v="3"/>
    <x v="4"/>
    <x v="1"/>
    <s v="East"/>
    <n v="487.5"/>
    <n v="6"/>
    <n v="71.41"/>
    <n v="416.09000000000003"/>
  </r>
  <r>
    <x v="247"/>
    <d v="2023-10-18T00:00:00"/>
    <s v="2023"/>
    <s v="October"/>
    <x v="3"/>
    <x v="0"/>
    <x v="0"/>
    <s v="South"/>
    <n v="3982.34"/>
    <n v="5"/>
    <n v="584.51"/>
    <n v="3397.83"/>
  </r>
  <r>
    <x v="248"/>
    <d v="2023-12-08T00:00:00"/>
    <s v="2023"/>
    <s v="December"/>
    <x v="3"/>
    <x v="5"/>
    <x v="1"/>
    <s v="West"/>
    <n v="1097.68"/>
    <n v="2"/>
    <n v="474.54"/>
    <n v="623.1400000000001"/>
  </r>
  <r>
    <x v="249"/>
    <d v="2024-11-02T00:00:00"/>
    <s v="2024"/>
    <s v="November"/>
    <x v="3"/>
    <x v="4"/>
    <x v="1"/>
    <s v="North"/>
    <n v="1167.79"/>
    <n v="7"/>
    <n v="120.58"/>
    <n v="1047.21"/>
  </r>
  <r>
    <x v="250"/>
    <d v="2024-07-26T00:00:00"/>
    <s v="2024"/>
    <s v="July"/>
    <x v="1"/>
    <x v="1"/>
    <x v="0"/>
    <s v="North"/>
    <n v="4498.8100000000004"/>
    <n v="7"/>
    <n v="521.91999999999996"/>
    <n v="3976.8900000000003"/>
  </r>
  <r>
    <x v="251"/>
    <d v="2024-10-23T00:00:00"/>
    <s v="2024"/>
    <s v="October"/>
    <x v="3"/>
    <x v="2"/>
    <x v="1"/>
    <s v="East"/>
    <n v="3229.24"/>
    <n v="7"/>
    <n v="416.62"/>
    <n v="2812.62"/>
  </r>
  <r>
    <x v="252"/>
    <d v="2023-08-08T00:00:00"/>
    <s v="2023"/>
    <s v="August"/>
    <x v="1"/>
    <x v="4"/>
    <x v="1"/>
    <s v="West"/>
    <n v="5896.59"/>
    <n v="6"/>
    <n v="759.18"/>
    <n v="5137.41"/>
  </r>
  <r>
    <x v="253"/>
    <d v="2023-06-08T00:00:00"/>
    <s v="2023"/>
    <s v="June"/>
    <x v="2"/>
    <x v="2"/>
    <x v="1"/>
    <s v="West"/>
    <n v="709.66"/>
    <n v="2"/>
    <n v="250.72"/>
    <n v="458.93999999999994"/>
  </r>
  <r>
    <x v="254"/>
    <d v="2024-11-08T00:00:00"/>
    <s v="2024"/>
    <s v="November"/>
    <x v="3"/>
    <x v="5"/>
    <x v="1"/>
    <s v="East"/>
    <n v="5687.31"/>
    <n v="6"/>
    <n v="703.59"/>
    <n v="4983.72"/>
  </r>
  <r>
    <x v="255"/>
    <d v="2023-06-07T00:00:00"/>
    <s v="2023"/>
    <s v="June"/>
    <x v="2"/>
    <x v="5"/>
    <x v="1"/>
    <s v="South"/>
    <n v="665.41"/>
    <n v="3"/>
    <n v="161.06"/>
    <n v="504.34999999999997"/>
  </r>
  <r>
    <x v="256"/>
    <d v="2024-03-24T00:00:00"/>
    <s v="2024"/>
    <s v="March"/>
    <x v="0"/>
    <x v="5"/>
    <x v="1"/>
    <s v="West"/>
    <n v="466.63"/>
    <n v="1"/>
    <n v="340.47"/>
    <n v="126.15999999999997"/>
  </r>
  <r>
    <x v="257"/>
    <d v="2024-09-17T00:00:00"/>
    <s v="2024"/>
    <s v="September"/>
    <x v="1"/>
    <x v="2"/>
    <x v="1"/>
    <s v="South"/>
    <n v="4289.1099999999997"/>
    <n v="5"/>
    <n v="606.87"/>
    <n v="3682.24"/>
  </r>
  <r>
    <x v="258"/>
    <d v="2023-11-13T00:00:00"/>
    <s v="2023"/>
    <s v="November"/>
    <x v="3"/>
    <x v="2"/>
    <x v="1"/>
    <s v="West"/>
    <n v="6831.06"/>
    <n v="8"/>
    <n v="725.1"/>
    <n v="6105.96"/>
  </r>
  <r>
    <x v="259"/>
    <d v="2024-04-17T00:00:00"/>
    <s v="2024"/>
    <s v="April"/>
    <x v="2"/>
    <x v="0"/>
    <x v="0"/>
    <s v="South"/>
    <n v="4078.75"/>
    <n v="5"/>
    <n v="626.94000000000005"/>
    <n v="3451.81"/>
  </r>
  <r>
    <x v="260"/>
    <d v="2023-07-24T00:00:00"/>
    <s v="2023"/>
    <s v="July"/>
    <x v="1"/>
    <x v="3"/>
    <x v="0"/>
    <s v="West"/>
    <n v="1535.4"/>
    <n v="10"/>
    <n v="127.95"/>
    <n v="1407.45"/>
  </r>
  <r>
    <x v="261"/>
    <d v="2024-01-16T00:00:00"/>
    <s v="2024"/>
    <s v="January"/>
    <x v="0"/>
    <x v="0"/>
    <x v="0"/>
    <s v="South"/>
    <n v="9330.2099999999991"/>
    <n v="9"/>
    <n v="748.75"/>
    <n v="8581.4599999999991"/>
  </r>
  <r>
    <x v="262"/>
    <d v="2023-10-19T00:00:00"/>
    <s v="2023"/>
    <s v="October"/>
    <x v="3"/>
    <x v="5"/>
    <x v="1"/>
    <s v="East"/>
    <n v="1487.77"/>
    <n v="2"/>
    <n v="615.23"/>
    <n v="872.54"/>
  </r>
  <r>
    <x v="263"/>
    <d v="2024-03-23T00:00:00"/>
    <s v="2024"/>
    <s v="March"/>
    <x v="0"/>
    <x v="5"/>
    <x v="1"/>
    <s v="West"/>
    <n v="1802.72"/>
    <n v="2"/>
    <n v="758.2"/>
    <n v="1044.52"/>
  </r>
  <r>
    <x v="264"/>
    <d v="2023-01-28T00:00:00"/>
    <s v="2023"/>
    <s v="January"/>
    <x v="0"/>
    <x v="3"/>
    <x v="0"/>
    <s v="North"/>
    <n v="560.36"/>
    <n v="7"/>
    <n v="61.54"/>
    <n v="498.82"/>
  </r>
  <r>
    <x v="265"/>
    <d v="2023-03-25T00:00:00"/>
    <s v="2023"/>
    <s v="March"/>
    <x v="0"/>
    <x v="2"/>
    <x v="1"/>
    <s v="South"/>
    <n v="1437.18"/>
    <n v="6"/>
    <n v="195.14"/>
    <n v="1242.04"/>
  </r>
  <r>
    <x v="266"/>
    <d v="2023-05-30T00:00:00"/>
    <s v="2023"/>
    <s v="May"/>
    <x v="2"/>
    <x v="1"/>
    <x v="0"/>
    <s v="North"/>
    <n v="219.52"/>
    <n v="3"/>
    <n v="49.88"/>
    <n v="169.64000000000001"/>
  </r>
  <r>
    <x v="267"/>
    <d v="2024-12-23T00:00:00"/>
    <s v="2024"/>
    <s v="December"/>
    <x v="3"/>
    <x v="3"/>
    <x v="0"/>
    <s v="West"/>
    <n v="3261.42"/>
    <n v="8"/>
    <n v="369.91"/>
    <n v="2891.51"/>
  </r>
  <r>
    <x v="268"/>
    <d v="2023-09-20T00:00:00"/>
    <s v="2023"/>
    <s v="September"/>
    <x v="1"/>
    <x v="1"/>
    <x v="0"/>
    <s v="East"/>
    <n v="3543.02"/>
    <n v="4"/>
    <n v="671.27"/>
    <n v="2871.75"/>
  </r>
  <r>
    <x v="269"/>
    <d v="2023-04-24T00:00:00"/>
    <s v="2023"/>
    <s v="April"/>
    <x v="2"/>
    <x v="0"/>
    <x v="0"/>
    <s v="South"/>
    <n v="1179.53"/>
    <n v="5"/>
    <n v="205.36"/>
    <n v="974.17"/>
  </r>
  <r>
    <x v="270"/>
    <d v="2024-10-16T00:00:00"/>
    <s v="2024"/>
    <s v="October"/>
    <x v="3"/>
    <x v="2"/>
    <x v="1"/>
    <s v="South"/>
    <n v="4309.0200000000004"/>
    <n v="10"/>
    <n v="376.55"/>
    <n v="3932.4700000000003"/>
  </r>
  <r>
    <x v="271"/>
    <d v="2024-10-09T00:00:00"/>
    <s v="2024"/>
    <s v="October"/>
    <x v="3"/>
    <x v="3"/>
    <x v="0"/>
    <s v="East"/>
    <n v="5850.55"/>
    <n v="9"/>
    <n v="468.54"/>
    <n v="5382.01"/>
  </r>
  <r>
    <x v="272"/>
    <d v="2023-01-02T00:00:00"/>
    <s v="2023"/>
    <s v="January"/>
    <x v="0"/>
    <x v="4"/>
    <x v="1"/>
    <s v="South"/>
    <n v="3921.04"/>
    <n v="10"/>
    <n v="295.2"/>
    <n v="3625.84"/>
  </r>
  <r>
    <x v="273"/>
    <d v="2024-06-20T00:00:00"/>
    <s v="2024"/>
    <s v="June"/>
    <x v="2"/>
    <x v="2"/>
    <x v="1"/>
    <s v="East"/>
    <n v="572.30999999999995"/>
    <n v="6"/>
    <n v="72.790000000000006"/>
    <n v="499.51999999999992"/>
  </r>
  <r>
    <x v="274"/>
    <d v="2024-02-04T00:00:00"/>
    <s v="2024"/>
    <s v="February"/>
    <x v="0"/>
    <x v="5"/>
    <x v="1"/>
    <s v="East"/>
    <n v="541.65"/>
    <n v="8"/>
    <n v="53.96"/>
    <n v="487.69"/>
  </r>
  <r>
    <x v="275"/>
    <d v="2023-01-17T00:00:00"/>
    <s v="2023"/>
    <s v="January"/>
    <x v="0"/>
    <x v="4"/>
    <x v="1"/>
    <s v="North"/>
    <n v="4716.8500000000004"/>
    <n v="6"/>
    <n v="635.04999999999995"/>
    <n v="4081.8"/>
  </r>
  <r>
    <x v="276"/>
    <d v="2024-08-18T00:00:00"/>
    <s v="2024"/>
    <s v="August"/>
    <x v="1"/>
    <x v="0"/>
    <x v="0"/>
    <s v="East"/>
    <n v="923.69"/>
    <n v="6"/>
    <n v="124.06"/>
    <n v="799.63000000000011"/>
  </r>
  <r>
    <x v="277"/>
    <d v="2024-12-02T00:00:00"/>
    <s v="2024"/>
    <s v="December"/>
    <x v="3"/>
    <x v="4"/>
    <x v="1"/>
    <s v="West"/>
    <n v="8110.48"/>
    <n v="8"/>
    <n v="785.04"/>
    <n v="7325.44"/>
  </r>
  <r>
    <x v="278"/>
    <d v="2023-03-06T00:00:00"/>
    <s v="2023"/>
    <s v="March"/>
    <x v="0"/>
    <x v="2"/>
    <x v="1"/>
    <s v="West"/>
    <n v="461.39"/>
    <n v="8"/>
    <n v="48.85"/>
    <n v="412.53999999999996"/>
  </r>
  <r>
    <x v="279"/>
    <d v="2023-11-20T00:00:00"/>
    <s v="2023"/>
    <s v="November"/>
    <x v="3"/>
    <x v="2"/>
    <x v="1"/>
    <s v="East"/>
    <n v="3155.82"/>
    <n v="5"/>
    <n v="422"/>
    <n v="2733.82"/>
  </r>
  <r>
    <x v="280"/>
    <d v="2023-09-17T00:00:00"/>
    <s v="2023"/>
    <s v="September"/>
    <x v="1"/>
    <x v="5"/>
    <x v="1"/>
    <s v="South"/>
    <n v="714.77"/>
    <n v="1"/>
    <n v="607.57000000000005"/>
    <n v="107.19999999999993"/>
  </r>
  <r>
    <x v="281"/>
    <d v="2024-11-02T00:00:00"/>
    <s v="2024"/>
    <s v="November"/>
    <x v="3"/>
    <x v="4"/>
    <x v="1"/>
    <s v="East"/>
    <n v="1985.73"/>
    <n v="6"/>
    <n v="233.11"/>
    <n v="1752.62"/>
  </r>
  <r>
    <x v="282"/>
    <d v="2024-03-26T00:00:00"/>
    <s v="2024"/>
    <s v="March"/>
    <x v="0"/>
    <x v="3"/>
    <x v="0"/>
    <s v="South"/>
    <n v="2339.06"/>
    <n v="7"/>
    <n v="284.45"/>
    <n v="2054.61"/>
  </r>
  <r>
    <x v="283"/>
    <d v="2024-01-12T00:00:00"/>
    <s v="2024"/>
    <s v="January"/>
    <x v="0"/>
    <x v="0"/>
    <x v="0"/>
    <s v="South"/>
    <n v="2325.42"/>
    <n v="9"/>
    <n v="228.04"/>
    <n v="2097.38"/>
  </r>
  <r>
    <x v="284"/>
    <d v="2024-03-16T00:00:00"/>
    <s v="2024"/>
    <s v="March"/>
    <x v="0"/>
    <x v="3"/>
    <x v="0"/>
    <s v="East"/>
    <n v="9332.68"/>
    <n v="10"/>
    <n v="796.18"/>
    <n v="8536.5"/>
  </r>
  <r>
    <x v="285"/>
    <d v="2023-04-16T00:00:00"/>
    <s v="2023"/>
    <s v="April"/>
    <x v="2"/>
    <x v="4"/>
    <x v="1"/>
    <s v="North"/>
    <n v="671.94"/>
    <n v="2"/>
    <n v="275.77999999999997"/>
    <n v="396.16000000000008"/>
  </r>
  <r>
    <x v="286"/>
    <d v="2023-06-20T00:00:00"/>
    <s v="2023"/>
    <s v="June"/>
    <x v="2"/>
    <x v="3"/>
    <x v="0"/>
    <s v="South"/>
    <n v="2628.92"/>
    <n v="8"/>
    <n v="294.20999999999998"/>
    <n v="2334.71"/>
  </r>
  <r>
    <x v="287"/>
    <d v="2023-10-09T00:00:00"/>
    <s v="2023"/>
    <s v="October"/>
    <x v="3"/>
    <x v="4"/>
    <x v="1"/>
    <s v="South"/>
    <n v="106.41"/>
    <n v="1"/>
    <n v="78.53"/>
    <n v="27.879999999999995"/>
  </r>
  <r>
    <x v="288"/>
    <d v="2023-02-01T00:00:00"/>
    <s v="2023"/>
    <s v="February"/>
    <x v="0"/>
    <x v="4"/>
    <x v="1"/>
    <s v="West"/>
    <n v="2805.38"/>
    <n v="3"/>
    <n v="681.96"/>
    <n v="2123.42"/>
  </r>
  <r>
    <x v="289"/>
    <d v="2023-05-10T00:00:00"/>
    <s v="2023"/>
    <s v="May"/>
    <x v="2"/>
    <x v="3"/>
    <x v="0"/>
    <s v="East"/>
    <n v="554.30999999999995"/>
    <n v="2"/>
    <n v="204.08"/>
    <n v="350.2299999999999"/>
  </r>
  <r>
    <x v="290"/>
    <d v="2024-08-03T00:00:00"/>
    <s v="2024"/>
    <s v="August"/>
    <x v="1"/>
    <x v="4"/>
    <x v="1"/>
    <s v="South"/>
    <n v="674.8"/>
    <n v="1"/>
    <n v="491.97"/>
    <n v="182.82999999999993"/>
  </r>
  <r>
    <x v="291"/>
    <d v="2024-03-30T00:00:00"/>
    <s v="2024"/>
    <s v="March"/>
    <x v="0"/>
    <x v="4"/>
    <x v="1"/>
    <s v="North"/>
    <n v="1226.94"/>
    <n v="2"/>
    <n v="467.66"/>
    <n v="759.28"/>
  </r>
  <r>
    <x v="292"/>
    <d v="2024-10-27T00:00:00"/>
    <s v="2024"/>
    <s v="October"/>
    <x v="3"/>
    <x v="3"/>
    <x v="0"/>
    <s v="North"/>
    <n v="1229.56"/>
    <n v="5"/>
    <n v="214.7"/>
    <n v="1014.8599999999999"/>
  </r>
  <r>
    <x v="293"/>
    <d v="2024-05-26T00:00:00"/>
    <s v="2024"/>
    <s v="May"/>
    <x v="2"/>
    <x v="0"/>
    <x v="0"/>
    <s v="West"/>
    <n v="3837.1"/>
    <n v="9"/>
    <n v="321.85000000000002"/>
    <n v="3515.25"/>
  </r>
  <r>
    <x v="294"/>
    <d v="2024-12-21T00:00:00"/>
    <s v="2024"/>
    <s v="December"/>
    <x v="3"/>
    <x v="4"/>
    <x v="1"/>
    <s v="North"/>
    <n v="2015.62"/>
    <n v="8"/>
    <n v="187.36"/>
    <n v="1828.2599999999998"/>
  </r>
  <r>
    <x v="295"/>
    <d v="2023-07-24T00:00:00"/>
    <s v="2023"/>
    <s v="July"/>
    <x v="1"/>
    <x v="0"/>
    <x v="0"/>
    <s v="South"/>
    <n v="284.37"/>
    <n v="2"/>
    <n v="125.87"/>
    <n v="158.5"/>
  </r>
  <r>
    <x v="296"/>
    <d v="2023-03-31T00:00:00"/>
    <s v="2023"/>
    <s v="March"/>
    <x v="0"/>
    <x v="2"/>
    <x v="1"/>
    <s v="South"/>
    <n v="4491.2"/>
    <n v="6"/>
    <n v="540.91999999999996"/>
    <n v="3950.2799999999997"/>
  </r>
  <r>
    <x v="297"/>
    <d v="2023-11-04T00:00:00"/>
    <s v="2023"/>
    <s v="November"/>
    <x v="3"/>
    <x v="5"/>
    <x v="1"/>
    <s v="North"/>
    <n v="2538.2800000000002"/>
    <n v="3"/>
    <n v="575.21"/>
    <n v="1963.0700000000002"/>
  </r>
  <r>
    <x v="298"/>
    <d v="2024-01-06T00:00:00"/>
    <s v="2024"/>
    <s v="January"/>
    <x v="0"/>
    <x v="0"/>
    <x v="0"/>
    <s v="West"/>
    <n v="2620.85"/>
    <n v="9"/>
    <n v="194.91"/>
    <n v="2425.94"/>
  </r>
  <r>
    <x v="299"/>
    <d v="2024-05-20T00:00:00"/>
    <s v="2024"/>
    <s v="May"/>
    <x v="2"/>
    <x v="2"/>
    <x v="1"/>
    <s v="West"/>
    <n v="400.67"/>
    <n v="1"/>
    <n v="301.5"/>
    <n v="99.17000000000001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x v="0"/>
  </r>
  <r>
    <s v="ORD0002"/>
    <x v="1"/>
    <x v="1"/>
    <x v="1"/>
    <x v="1"/>
    <x v="0"/>
    <x v="0"/>
    <n v="356.63"/>
    <n v="7"/>
    <n v="44.79"/>
    <x v="1"/>
  </r>
  <r>
    <s v="ORD0003"/>
    <x v="2"/>
    <x v="2"/>
    <x v="1"/>
    <x v="2"/>
    <x v="1"/>
    <x v="0"/>
    <n v="3194.55"/>
    <n v="4"/>
    <n v="578.5"/>
    <x v="1"/>
  </r>
  <r>
    <s v="ORD0004"/>
    <x v="3"/>
    <x v="3"/>
    <x v="1"/>
    <x v="3"/>
    <x v="0"/>
    <x v="1"/>
    <n v="3430.95"/>
    <n v="10"/>
    <n v="236.99"/>
    <x v="2"/>
  </r>
  <r>
    <s v="ORD0005"/>
    <x v="4"/>
    <x v="4"/>
    <x v="0"/>
    <x v="2"/>
    <x v="1"/>
    <x v="2"/>
    <n v="1047.44"/>
    <n v="5"/>
    <n v="141.27000000000001"/>
    <x v="3"/>
  </r>
  <r>
    <s v="ORD0006"/>
    <x v="5"/>
    <x v="3"/>
    <x v="0"/>
    <x v="4"/>
    <x v="1"/>
    <x v="0"/>
    <n v="961.37"/>
    <n v="7"/>
    <n v="95.44"/>
    <x v="2"/>
  </r>
  <r>
    <s v="ORD0007"/>
    <x v="6"/>
    <x v="5"/>
    <x v="0"/>
    <x v="5"/>
    <x v="1"/>
    <x v="3"/>
    <n v="5221.42"/>
    <n v="8"/>
    <n v="438.26"/>
    <x v="0"/>
  </r>
  <r>
    <s v="ORD0008"/>
    <x v="7"/>
    <x v="2"/>
    <x v="1"/>
    <x v="3"/>
    <x v="0"/>
    <x v="0"/>
    <n v="4493.2"/>
    <n v="5"/>
    <n v="666.94"/>
    <x v="1"/>
  </r>
  <r>
    <s v="ORD0009"/>
    <x v="8"/>
    <x v="4"/>
    <x v="1"/>
    <x v="4"/>
    <x v="1"/>
    <x v="1"/>
    <n v="132.79"/>
    <n v="2"/>
    <n v="55.74"/>
    <x v="3"/>
  </r>
  <r>
    <s v="ORD0010"/>
    <x v="9"/>
    <x v="1"/>
    <x v="0"/>
    <x v="4"/>
    <x v="1"/>
    <x v="0"/>
    <n v="811.1"/>
    <n v="2"/>
    <n v="316.5"/>
    <x v="1"/>
  </r>
  <r>
    <s v="ORD0011"/>
    <x v="10"/>
    <x v="0"/>
    <x v="1"/>
    <x v="4"/>
    <x v="1"/>
    <x v="1"/>
    <n v="1328.1"/>
    <n v="6"/>
    <n v="183.42"/>
    <x v="0"/>
  </r>
  <r>
    <s v="ORD0012"/>
    <x v="11"/>
    <x v="6"/>
    <x v="1"/>
    <x v="0"/>
    <x v="0"/>
    <x v="0"/>
    <n v="1569.15"/>
    <n v="3"/>
    <n v="436.63"/>
    <x v="1"/>
  </r>
  <r>
    <s v="ORD0013"/>
    <x v="12"/>
    <x v="7"/>
    <x v="0"/>
    <x v="3"/>
    <x v="0"/>
    <x v="2"/>
    <n v="2117.1999999999998"/>
    <n v="9"/>
    <n v="191.3"/>
    <x v="3"/>
  </r>
  <r>
    <s v="ORD0014"/>
    <x v="13"/>
    <x v="5"/>
    <x v="0"/>
    <x v="1"/>
    <x v="0"/>
    <x v="1"/>
    <n v="2250.09"/>
    <n v="6"/>
    <n v="332.91"/>
    <x v="0"/>
  </r>
  <r>
    <s v="ORD0015"/>
    <x v="14"/>
    <x v="1"/>
    <x v="0"/>
    <x v="5"/>
    <x v="1"/>
    <x v="3"/>
    <n v="3853.23"/>
    <n v="8"/>
    <n v="328.59"/>
    <x v="1"/>
  </r>
  <r>
    <s v="ORD0016"/>
    <x v="15"/>
    <x v="6"/>
    <x v="0"/>
    <x v="3"/>
    <x v="0"/>
    <x v="1"/>
    <n v="843.88"/>
    <n v="3"/>
    <n v="212.37"/>
    <x v="1"/>
  </r>
  <r>
    <s v="ORD0017"/>
    <x v="16"/>
    <x v="1"/>
    <x v="1"/>
    <x v="4"/>
    <x v="1"/>
    <x v="2"/>
    <n v="3172.52"/>
    <n v="7"/>
    <n v="302.36"/>
    <x v="1"/>
  </r>
  <r>
    <s v="ORD0018"/>
    <x v="17"/>
    <x v="3"/>
    <x v="0"/>
    <x v="2"/>
    <x v="1"/>
    <x v="2"/>
    <n v="803.11"/>
    <n v="1"/>
    <n v="691.66"/>
    <x v="2"/>
  </r>
  <r>
    <s v="ORD0019"/>
    <x v="18"/>
    <x v="6"/>
    <x v="1"/>
    <x v="2"/>
    <x v="1"/>
    <x v="2"/>
    <n v="856.87"/>
    <n v="2"/>
    <n v="320.12"/>
    <x v="1"/>
  </r>
  <r>
    <s v="ORD0020"/>
    <x v="19"/>
    <x v="2"/>
    <x v="1"/>
    <x v="3"/>
    <x v="0"/>
    <x v="3"/>
    <n v="630.91"/>
    <n v="1"/>
    <n v="550.62"/>
    <x v="1"/>
  </r>
  <r>
    <s v="ORD0021"/>
    <x v="20"/>
    <x v="7"/>
    <x v="1"/>
    <x v="5"/>
    <x v="1"/>
    <x v="3"/>
    <n v="817.92"/>
    <n v="6"/>
    <n v="107.01"/>
    <x v="3"/>
  </r>
  <r>
    <s v="ORD0022"/>
    <x v="21"/>
    <x v="6"/>
    <x v="0"/>
    <x v="3"/>
    <x v="0"/>
    <x v="0"/>
    <n v="7204.65"/>
    <n v="9"/>
    <n v="614.33000000000004"/>
    <x v="1"/>
  </r>
  <r>
    <s v="ORD0023"/>
    <x v="22"/>
    <x v="7"/>
    <x v="1"/>
    <x v="1"/>
    <x v="0"/>
    <x v="3"/>
    <n v="5172.8599999999997"/>
    <n v="9"/>
    <n v="495"/>
    <x v="3"/>
  </r>
  <r>
    <s v="ORD0024"/>
    <x v="23"/>
    <x v="6"/>
    <x v="1"/>
    <x v="2"/>
    <x v="1"/>
    <x v="0"/>
    <n v="2755.02"/>
    <n v="6"/>
    <n v="401.11"/>
    <x v="1"/>
  </r>
  <r>
    <s v="ORD0025"/>
    <x v="24"/>
    <x v="6"/>
    <x v="0"/>
    <x v="4"/>
    <x v="1"/>
    <x v="3"/>
    <n v="275.83999999999997"/>
    <n v="1"/>
    <n v="207.88"/>
    <x v="1"/>
  </r>
  <r>
    <s v="ORD0026"/>
    <x v="25"/>
    <x v="8"/>
    <x v="1"/>
    <x v="1"/>
    <x v="0"/>
    <x v="0"/>
    <n v="2055.84"/>
    <n v="2"/>
    <n v="782.83"/>
    <x v="2"/>
  </r>
  <r>
    <s v="ORD0027"/>
    <x v="26"/>
    <x v="9"/>
    <x v="1"/>
    <x v="2"/>
    <x v="1"/>
    <x v="1"/>
    <n v="7075.97"/>
    <n v="8"/>
    <n v="758.54"/>
    <x v="3"/>
  </r>
  <r>
    <s v="ORD0028"/>
    <x v="27"/>
    <x v="1"/>
    <x v="0"/>
    <x v="5"/>
    <x v="1"/>
    <x v="2"/>
    <n v="7542.93"/>
    <n v="9"/>
    <n v="609.11"/>
    <x v="1"/>
  </r>
  <r>
    <s v="ORD0029"/>
    <x v="28"/>
    <x v="5"/>
    <x v="1"/>
    <x v="0"/>
    <x v="0"/>
    <x v="3"/>
    <n v="2836.67"/>
    <n v="6"/>
    <n v="361.72"/>
    <x v="0"/>
  </r>
  <r>
    <s v="ORD0030"/>
    <x v="29"/>
    <x v="1"/>
    <x v="0"/>
    <x v="1"/>
    <x v="0"/>
    <x v="1"/>
    <n v="757.69"/>
    <n v="2"/>
    <n v="283.70999999999998"/>
    <x v="1"/>
  </r>
  <r>
    <s v="ORD0031"/>
    <x v="30"/>
    <x v="0"/>
    <x v="0"/>
    <x v="2"/>
    <x v="1"/>
    <x v="1"/>
    <n v="1285.6099999999999"/>
    <n v="2"/>
    <n v="572.12"/>
    <x v="0"/>
  </r>
  <r>
    <s v="ORD0032"/>
    <x v="31"/>
    <x v="4"/>
    <x v="0"/>
    <x v="1"/>
    <x v="0"/>
    <x v="0"/>
    <n v="1020.09"/>
    <n v="2"/>
    <n v="421.04"/>
    <x v="3"/>
  </r>
  <r>
    <s v="ORD0033"/>
    <x v="32"/>
    <x v="2"/>
    <x v="1"/>
    <x v="3"/>
    <x v="0"/>
    <x v="1"/>
    <n v="2546.5300000000002"/>
    <n v="3"/>
    <n v="584.22"/>
    <x v="1"/>
  </r>
  <r>
    <s v="ORD0034"/>
    <x v="33"/>
    <x v="6"/>
    <x v="0"/>
    <x v="5"/>
    <x v="1"/>
    <x v="2"/>
    <n v="6114.64"/>
    <n v="8"/>
    <n v="649.85"/>
    <x v="1"/>
  </r>
  <r>
    <s v="ORD0035"/>
    <x v="34"/>
    <x v="4"/>
    <x v="0"/>
    <x v="1"/>
    <x v="0"/>
    <x v="2"/>
    <n v="3447.05"/>
    <n v="7"/>
    <n v="340.66"/>
    <x v="3"/>
  </r>
  <r>
    <s v="ORD0036"/>
    <x v="35"/>
    <x v="10"/>
    <x v="0"/>
    <x v="1"/>
    <x v="0"/>
    <x v="0"/>
    <n v="5845.79"/>
    <n v="7"/>
    <n v="588.01"/>
    <x v="0"/>
  </r>
  <r>
    <s v="ORD0037"/>
    <x v="36"/>
    <x v="2"/>
    <x v="0"/>
    <x v="1"/>
    <x v="0"/>
    <x v="1"/>
    <n v="2026.83"/>
    <n v="4"/>
    <n v="438.3"/>
    <x v="1"/>
  </r>
  <r>
    <s v="ORD0038"/>
    <x v="37"/>
    <x v="3"/>
    <x v="1"/>
    <x v="2"/>
    <x v="1"/>
    <x v="3"/>
    <n v="3173.92"/>
    <n v="4"/>
    <n v="702.1"/>
    <x v="2"/>
  </r>
  <r>
    <s v="ORD0039"/>
    <x v="38"/>
    <x v="5"/>
    <x v="0"/>
    <x v="5"/>
    <x v="1"/>
    <x v="0"/>
    <n v="8998.33"/>
    <n v="9"/>
    <n v="672.1"/>
    <x v="0"/>
  </r>
  <r>
    <s v="ORD0040"/>
    <x v="39"/>
    <x v="5"/>
    <x v="1"/>
    <x v="2"/>
    <x v="1"/>
    <x v="1"/>
    <n v="4574.24"/>
    <n v="8"/>
    <n v="395.46"/>
    <x v="0"/>
  </r>
  <r>
    <s v="ORD0041"/>
    <x v="40"/>
    <x v="0"/>
    <x v="1"/>
    <x v="1"/>
    <x v="0"/>
    <x v="1"/>
    <n v="951.04"/>
    <n v="1"/>
    <n v="788.54"/>
    <x v="0"/>
  </r>
  <r>
    <s v="ORD0042"/>
    <x v="41"/>
    <x v="10"/>
    <x v="1"/>
    <x v="3"/>
    <x v="0"/>
    <x v="3"/>
    <n v="6248.51"/>
    <n v="9"/>
    <n v="536.26"/>
    <x v="0"/>
  </r>
  <r>
    <s v="ORD0043"/>
    <x v="42"/>
    <x v="1"/>
    <x v="0"/>
    <x v="2"/>
    <x v="1"/>
    <x v="3"/>
    <n v="621.25"/>
    <n v="1"/>
    <n v="471.76"/>
    <x v="1"/>
  </r>
  <r>
    <s v="ORD0044"/>
    <x v="43"/>
    <x v="5"/>
    <x v="0"/>
    <x v="0"/>
    <x v="0"/>
    <x v="3"/>
    <n v="618.9"/>
    <n v="1"/>
    <n v="475.66"/>
    <x v="0"/>
  </r>
  <r>
    <s v="ORD0045"/>
    <x v="43"/>
    <x v="5"/>
    <x v="0"/>
    <x v="5"/>
    <x v="1"/>
    <x v="1"/>
    <n v="871.83"/>
    <n v="9"/>
    <n v="82.49"/>
    <x v="0"/>
  </r>
  <r>
    <s v="ORD0046"/>
    <x v="44"/>
    <x v="9"/>
    <x v="1"/>
    <x v="5"/>
    <x v="1"/>
    <x v="0"/>
    <n v="1978.34"/>
    <n v="4"/>
    <n v="334.94"/>
    <x v="3"/>
  </r>
  <r>
    <s v="ORD0047"/>
    <x v="45"/>
    <x v="1"/>
    <x v="1"/>
    <x v="5"/>
    <x v="1"/>
    <x v="1"/>
    <n v="577.72"/>
    <n v="10"/>
    <n v="51"/>
    <x v="1"/>
  </r>
  <r>
    <s v="ORD0048"/>
    <x v="46"/>
    <x v="6"/>
    <x v="0"/>
    <x v="0"/>
    <x v="0"/>
    <x v="3"/>
    <n v="2659.17"/>
    <n v="4"/>
    <n v="542.39"/>
    <x v="1"/>
  </r>
  <r>
    <s v="ORD0049"/>
    <x v="47"/>
    <x v="8"/>
    <x v="0"/>
    <x v="4"/>
    <x v="1"/>
    <x v="2"/>
    <n v="2771.33"/>
    <n v="5"/>
    <n v="376.64"/>
    <x v="2"/>
  </r>
  <r>
    <s v="ORD0050"/>
    <x v="48"/>
    <x v="3"/>
    <x v="1"/>
    <x v="1"/>
    <x v="0"/>
    <x v="0"/>
    <n v="11969.38"/>
    <n v="10"/>
    <n v="798.79"/>
    <x v="2"/>
  </r>
  <r>
    <s v="ORD0051"/>
    <x v="49"/>
    <x v="11"/>
    <x v="1"/>
    <x v="1"/>
    <x v="0"/>
    <x v="1"/>
    <n v="764.34"/>
    <n v="5"/>
    <n v="123.32"/>
    <x v="2"/>
  </r>
  <r>
    <s v="ORD0052"/>
    <x v="50"/>
    <x v="0"/>
    <x v="1"/>
    <x v="1"/>
    <x v="0"/>
    <x v="1"/>
    <n v="1025.24"/>
    <n v="5"/>
    <n v="143.04"/>
    <x v="0"/>
  </r>
  <r>
    <s v="ORD0053"/>
    <x v="51"/>
    <x v="6"/>
    <x v="1"/>
    <x v="0"/>
    <x v="0"/>
    <x v="3"/>
    <n v="335.17"/>
    <n v="9"/>
    <n v="26.1"/>
    <x v="1"/>
  </r>
  <r>
    <s v="ORD0054"/>
    <x v="52"/>
    <x v="8"/>
    <x v="0"/>
    <x v="4"/>
    <x v="1"/>
    <x v="0"/>
    <n v="628.72"/>
    <n v="5"/>
    <n v="110.03"/>
    <x v="2"/>
  </r>
  <r>
    <s v="ORD0055"/>
    <x v="53"/>
    <x v="7"/>
    <x v="0"/>
    <x v="5"/>
    <x v="1"/>
    <x v="1"/>
    <n v="3410.54"/>
    <n v="5"/>
    <n v="491.77"/>
    <x v="3"/>
  </r>
  <r>
    <s v="ORD0056"/>
    <x v="54"/>
    <x v="11"/>
    <x v="1"/>
    <x v="2"/>
    <x v="1"/>
    <x v="3"/>
    <n v="2527"/>
    <n v="8"/>
    <n v="215.87"/>
    <x v="2"/>
  </r>
  <r>
    <s v="ORD0057"/>
    <x v="55"/>
    <x v="7"/>
    <x v="1"/>
    <x v="1"/>
    <x v="0"/>
    <x v="0"/>
    <n v="5217.38"/>
    <n v="7"/>
    <n v="666.89"/>
    <x v="3"/>
  </r>
  <r>
    <s v="ORD0058"/>
    <x v="56"/>
    <x v="7"/>
    <x v="1"/>
    <x v="4"/>
    <x v="1"/>
    <x v="1"/>
    <n v="932.21"/>
    <n v="5"/>
    <n v="146.03"/>
    <x v="3"/>
  </r>
  <r>
    <s v="ORD0059"/>
    <x v="2"/>
    <x v="2"/>
    <x v="1"/>
    <x v="0"/>
    <x v="0"/>
    <x v="2"/>
    <n v="158.53"/>
    <n v="1"/>
    <n v="107.26"/>
    <x v="1"/>
  </r>
  <r>
    <s v="ORD0060"/>
    <x v="57"/>
    <x v="2"/>
    <x v="1"/>
    <x v="0"/>
    <x v="0"/>
    <x v="1"/>
    <n v="894.42"/>
    <n v="1"/>
    <n v="670.98"/>
    <x v="1"/>
  </r>
  <r>
    <s v="ORD0061"/>
    <x v="58"/>
    <x v="8"/>
    <x v="0"/>
    <x v="2"/>
    <x v="1"/>
    <x v="2"/>
    <n v="380.14"/>
    <n v="1"/>
    <n v="260.44"/>
    <x v="2"/>
  </r>
  <r>
    <s v="ORD0062"/>
    <x v="59"/>
    <x v="1"/>
    <x v="0"/>
    <x v="1"/>
    <x v="0"/>
    <x v="3"/>
    <n v="2682.62"/>
    <n v="4"/>
    <n v="540.21"/>
    <x v="1"/>
  </r>
  <r>
    <s v="ORD0063"/>
    <x v="60"/>
    <x v="6"/>
    <x v="1"/>
    <x v="5"/>
    <x v="1"/>
    <x v="2"/>
    <n v="2659.75"/>
    <n v="3"/>
    <n v="742.1"/>
    <x v="1"/>
  </r>
  <r>
    <s v="ORD0064"/>
    <x v="61"/>
    <x v="5"/>
    <x v="1"/>
    <x v="2"/>
    <x v="1"/>
    <x v="1"/>
    <n v="235.02"/>
    <n v="1"/>
    <n v="159.9"/>
    <x v="0"/>
  </r>
  <r>
    <s v="ORD0065"/>
    <x v="62"/>
    <x v="7"/>
    <x v="0"/>
    <x v="3"/>
    <x v="0"/>
    <x v="1"/>
    <n v="2174.9499999999998"/>
    <n v="3"/>
    <n v="634.15"/>
    <x v="3"/>
  </r>
  <r>
    <s v="ORD0066"/>
    <x v="63"/>
    <x v="1"/>
    <x v="0"/>
    <x v="1"/>
    <x v="0"/>
    <x v="2"/>
    <n v="3374.36"/>
    <n v="4"/>
    <n v="656.94"/>
    <x v="1"/>
  </r>
  <r>
    <s v="ORD0067"/>
    <x v="64"/>
    <x v="1"/>
    <x v="0"/>
    <x v="4"/>
    <x v="1"/>
    <x v="1"/>
    <n v="673.56"/>
    <n v="1"/>
    <n v="534.83000000000004"/>
    <x v="1"/>
  </r>
  <r>
    <s v="ORD0068"/>
    <x v="65"/>
    <x v="7"/>
    <x v="0"/>
    <x v="4"/>
    <x v="1"/>
    <x v="0"/>
    <n v="3933.52"/>
    <n v="6"/>
    <n v="520.36"/>
    <x v="3"/>
  </r>
  <r>
    <s v="ORD0069"/>
    <x v="66"/>
    <x v="0"/>
    <x v="0"/>
    <x v="5"/>
    <x v="1"/>
    <x v="3"/>
    <n v="1696.13"/>
    <n v="2"/>
    <n v="704.09"/>
    <x v="0"/>
  </r>
  <r>
    <s v="ORD0070"/>
    <x v="67"/>
    <x v="5"/>
    <x v="0"/>
    <x v="5"/>
    <x v="1"/>
    <x v="3"/>
    <n v="1201.94"/>
    <n v="2"/>
    <n v="485.33"/>
    <x v="0"/>
  </r>
  <r>
    <s v="ORD0071"/>
    <x v="68"/>
    <x v="6"/>
    <x v="1"/>
    <x v="4"/>
    <x v="1"/>
    <x v="2"/>
    <n v="1447.83"/>
    <n v="9"/>
    <n v="110.2"/>
    <x v="1"/>
  </r>
  <r>
    <s v="ORD0072"/>
    <x v="69"/>
    <x v="5"/>
    <x v="0"/>
    <x v="2"/>
    <x v="1"/>
    <x v="3"/>
    <n v="219.42"/>
    <n v="7"/>
    <n v="21.32"/>
    <x v="0"/>
  </r>
  <r>
    <s v="ORD0073"/>
    <x v="70"/>
    <x v="0"/>
    <x v="1"/>
    <x v="5"/>
    <x v="1"/>
    <x v="1"/>
    <n v="712.97"/>
    <n v="7"/>
    <n v="74.58"/>
    <x v="0"/>
  </r>
  <r>
    <s v="ORD0074"/>
    <x v="71"/>
    <x v="9"/>
    <x v="1"/>
    <x v="4"/>
    <x v="1"/>
    <x v="3"/>
    <n v="1418.79"/>
    <n v="2"/>
    <n v="581.41"/>
    <x v="3"/>
  </r>
  <r>
    <s v="ORD0075"/>
    <x v="72"/>
    <x v="4"/>
    <x v="0"/>
    <x v="4"/>
    <x v="1"/>
    <x v="2"/>
    <n v="5216.66"/>
    <n v="7"/>
    <n v="563.82000000000005"/>
    <x v="3"/>
  </r>
  <r>
    <s v="ORD0076"/>
    <x v="73"/>
    <x v="9"/>
    <x v="1"/>
    <x v="2"/>
    <x v="1"/>
    <x v="2"/>
    <n v="5608.04"/>
    <n v="7"/>
    <n v="548.30999999999995"/>
    <x v="3"/>
  </r>
  <r>
    <s v="ORD0077"/>
    <x v="74"/>
    <x v="5"/>
    <x v="1"/>
    <x v="5"/>
    <x v="1"/>
    <x v="3"/>
    <n v="7369.35"/>
    <n v="9"/>
    <n v="670.31"/>
    <x v="0"/>
  </r>
  <r>
    <s v="ORD0078"/>
    <x v="75"/>
    <x v="1"/>
    <x v="1"/>
    <x v="2"/>
    <x v="1"/>
    <x v="2"/>
    <n v="6824.39"/>
    <n v="10"/>
    <n v="530.66999999999996"/>
    <x v="1"/>
  </r>
  <r>
    <s v="ORD0079"/>
    <x v="76"/>
    <x v="11"/>
    <x v="1"/>
    <x v="3"/>
    <x v="0"/>
    <x v="1"/>
    <n v="7587.17"/>
    <n v="8"/>
    <n v="639.11"/>
    <x v="2"/>
  </r>
  <r>
    <s v="ORD0080"/>
    <x v="77"/>
    <x v="9"/>
    <x v="1"/>
    <x v="0"/>
    <x v="0"/>
    <x v="1"/>
    <n v="659.15"/>
    <n v="2"/>
    <n v="241.35"/>
    <x v="3"/>
  </r>
  <r>
    <s v="ORD0081"/>
    <x v="78"/>
    <x v="3"/>
    <x v="0"/>
    <x v="5"/>
    <x v="1"/>
    <x v="3"/>
    <n v="2592.84"/>
    <n v="4"/>
    <n v="544.78"/>
    <x v="2"/>
  </r>
  <r>
    <s v="ORD0082"/>
    <x v="0"/>
    <x v="0"/>
    <x v="0"/>
    <x v="2"/>
    <x v="1"/>
    <x v="1"/>
    <n v="272.18"/>
    <n v="1"/>
    <n v="210.98"/>
    <x v="0"/>
  </r>
  <r>
    <s v="ORD0083"/>
    <x v="79"/>
    <x v="5"/>
    <x v="1"/>
    <x v="1"/>
    <x v="0"/>
    <x v="2"/>
    <n v="2366.4"/>
    <n v="10"/>
    <n v="171.66"/>
    <x v="0"/>
  </r>
  <r>
    <s v="ORD0084"/>
    <x v="80"/>
    <x v="6"/>
    <x v="0"/>
    <x v="3"/>
    <x v="0"/>
    <x v="2"/>
    <n v="1758.25"/>
    <n v="3"/>
    <n v="531.73"/>
    <x v="1"/>
  </r>
  <r>
    <s v="ORD0085"/>
    <x v="81"/>
    <x v="1"/>
    <x v="0"/>
    <x v="1"/>
    <x v="0"/>
    <x v="2"/>
    <n v="2676.27"/>
    <n v="3"/>
    <n v="647.21"/>
    <x v="1"/>
  </r>
  <r>
    <s v="ORD0086"/>
    <x v="82"/>
    <x v="2"/>
    <x v="1"/>
    <x v="3"/>
    <x v="0"/>
    <x v="0"/>
    <n v="3379.61"/>
    <n v="4"/>
    <n v="735.63"/>
    <x v="1"/>
  </r>
  <r>
    <s v="ORD0087"/>
    <x v="83"/>
    <x v="9"/>
    <x v="1"/>
    <x v="2"/>
    <x v="1"/>
    <x v="2"/>
    <n v="9521.2099999999991"/>
    <n v="9"/>
    <n v="790.56"/>
    <x v="3"/>
  </r>
  <r>
    <s v="ORD0088"/>
    <x v="84"/>
    <x v="2"/>
    <x v="1"/>
    <x v="3"/>
    <x v="0"/>
    <x v="2"/>
    <n v="8047.37"/>
    <n v="8"/>
    <n v="719.82"/>
    <x v="1"/>
  </r>
  <r>
    <s v="ORD0089"/>
    <x v="85"/>
    <x v="6"/>
    <x v="0"/>
    <x v="3"/>
    <x v="0"/>
    <x v="2"/>
    <n v="3269.93"/>
    <n v="4"/>
    <n v="675.09"/>
    <x v="1"/>
  </r>
  <r>
    <s v="ORD0090"/>
    <x v="86"/>
    <x v="7"/>
    <x v="1"/>
    <x v="5"/>
    <x v="1"/>
    <x v="2"/>
    <n v="1059.47"/>
    <n v="4"/>
    <n v="234.19"/>
    <x v="3"/>
  </r>
  <r>
    <s v="ORD0091"/>
    <x v="53"/>
    <x v="7"/>
    <x v="0"/>
    <x v="4"/>
    <x v="1"/>
    <x v="1"/>
    <n v="2127.04"/>
    <n v="6"/>
    <n v="269.37"/>
    <x v="3"/>
  </r>
  <r>
    <s v="ORD0092"/>
    <x v="87"/>
    <x v="1"/>
    <x v="0"/>
    <x v="2"/>
    <x v="1"/>
    <x v="1"/>
    <n v="5432.05"/>
    <n v="7"/>
    <n v="561.28"/>
    <x v="1"/>
  </r>
  <r>
    <s v="ORD0093"/>
    <x v="88"/>
    <x v="5"/>
    <x v="1"/>
    <x v="1"/>
    <x v="0"/>
    <x v="2"/>
    <n v="3367.67"/>
    <n v="6"/>
    <n v="443.24"/>
    <x v="0"/>
  </r>
  <r>
    <s v="ORD0094"/>
    <x v="89"/>
    <x v="5"/>
    <x v="1"/>
    <x v="2"/>
    <x v="1"/>
    <x v="2"/>
    <n v="8396.4500000000007"/>
    <n v="10"/>
    <n v="757.93"/>
    <x v="0"/>
  </r>
  <r>
    <s v="ORD0095"/>
    <x v="90"/>
    <x v="8"/>
    <x v="1"/>
    <x v="5"/>
    <x v="1"/>
    <x v="2"/>
    <n v="921.1"/>
    <n v="1"/>
    <n v="755.34"/>
    <x v="2"/>
  </r>
  <r>
    <s v="ORD0096"/>
    <x v="91"/>
    <x v="2"/>
    <x v="1"/>
    <x v="3"/>
    <x v="0"/>
    <x v="2"/>
    <n v="8455.77"/>
    <n v="9"/>
    <n v="643.9"/>
    <x v="1"/>
  </r>
  <r>
    <s v="ORD0097"/>
    <x v="92"/>
    <x v="7"/>
    <x v="0"/>
    <x v="3"/>
    <x v="0"/>
    <x v="1"/>
    <n v="3504.97"/>
    <n v="7"/>
    <n v="398.8"/>
    <x v="3"/>
  </r>
  <r>
    <s v="ORD0098"/>
    <x v="93"/>
    <x v="11"/>
    <x v="0"/>
    <x v="0"/>
    <x v="0"/>
    <x v="2"/>
    <n v="8801.4"/>
    <n v="8"/>
    <n v="737.24"/>
    <x v="2"/>
  </r>
  <r>
    <s v="ORD0099"/>
    <x v="94"/>
    <x v="5"/>
    <x v="1"/>
    <x v="5"/>
    <x v="1"/>
    <x v="0"/>
    <n v="5112.42"/>
    <n v="10"/>
    <n v="460.23"/>
    <x v="0"/>
  </r>
  <r>
    <s v="ORD0100"/>
    <x v="95"/>
    <x v="8"/>
    <x v="0"/>
    <x v="0"/>
    <x v="0"/>
    <x v="2"/>
    <n v="1558.06"/>
    <n v="8"/>
    <n v="161.75"/>
    <x v="2"/>
  </r>
  <r>
    <s v="ORD0101"/>
    <x v="96"/>
    <x v="3"/>
    <x v="1"/>
    <x v="4"/>
    <x v="1"/>
    <x v="1"/>
    <n v="2467.4299999999998"/>
    <n v="6"/>
    <n v="283.25"/>
    <x v="2"/>
  </r>
  <r>
    <s v="ORD0102"/>
    <x v="97"/>
    <x v="6"/>
    <x v="0"/>
    <x v="4"/>
    <x v="1"/>
    <x v="2"/>
    <n v="1082.8499999999999"/>
    <n v="2"/>
    <n v="386.84"/>
    <x v="1"/>
  </r>
  <r>
    <s v="ORD0103"/>
    <x v="98"/>
    <x v="1"/>
    <x v="0"/>
    <x v="1"/>
    <x v="0"/>
    <x v="3"/>
    <n v="1712.74"/>
    <n v="2"/>
    <n v="629.36"/>
    <x v="1"/>
  </r>
  <r>
    <s v="ORD0104"/>
    <x v="99"/>
    <x v="2"/>
    <x v="0"/>
    <x v="1"/>
    <x v="0"/>
    <x v="1"/>
    <n v="603.26"/>
    <n v="1"/>
    <n v="504.64"/>
    <x v="1"/>
  </r>
  <r>
    <s v="ORD0105"/>
    <x v="100"/>
    <x v="2"/>
    <x v="1"/>
    <x v="3"/>
    <x v="0"/>
    <x v="0"/>
    <n v="1840.93"/>
    <n v="4"/>
    <n v="382.73"/>
    <x v="1"/>
  </r>
  <r>
    <s v="ORD0106"/>
    <x v="68"/>
    <x v="6"/>
    <x v="1"/>
    <x v="4"/>
    <x v="1"/>
    <x v="1"/>
    <n v="10706.26"/>
    <n v="10"/>
    <n v="771.71"/>
    <x v="1"/>
  </r>
  <r>
    <s v="ORD0107"/>
    <x v="101"/>
    <x v="3"/>
    <x v="0"/>
    <x v="2"/>
    <x v="1"/>
    <x v="3"/>
    <n v="490.28"/>
    <n v="10"/>
    <n v="40.03"/>
    <x v="2"/>
  </r>
  <r>
    <s v="ORD0108"/>
    <x v="102"/>
    <x v="5"/>
    <x v="1"/>
    <x v="0"/>
    <x v="0"/>
    <x v="2"/>
    <n v="436.44"/>
    <n v="4"/>
    <n v="79.28"/>
    <x v="0"/>
  </r>
  <r>
    <s v="ORD0109"/>
    <x v="103"/>
    <x v="3"/>
    <x v="0"/>
    <x v="0"/>
    <x v="0"/>
    <x v="1"/>
    <n v="4578.2"/>
    <n v="5"/>
    <n v="683.23"/>
    <x v="2"/>
  </r>
  <r>
    <s v="ORD0110"/>
    <x v="104"/>
    <x v="4"/>
    <x v="0"/>
    <x v="1"/>
    <x v="0"/>
    <x v="0"/>
    <n v="3978.32"/>
    <n v="9"/>
    <n v="354.13"/>
    <x v="3"/>
  </r>
  <r>
    <s v="ORD0111"/>
    <x v="105"/>
    <x v="0"/>
    <x v="0"/>
    <x v="5"/>
    <x v="1"/>
    <x v="3"/>
    <n v="5288.39"/>
    <n v="7"/>
    <n v="661.42"/>
    <x v="0"/>
  </r>
  <r>
    <s v="ORD0112"/>
    <x v="106"/>
    <x v="4"/>
    <x v="1"/>
    <x v="4"/>
    <x v="1"/>
    <x v="2"/>
    <n v="1503.66"/>
    <n v="3"/>
    <n v="359.68"/>
    <x v="3"/>
  </r>
  <r>
    <s v="ORD0113"/>
    <x v="107"/>
    <x v="6"/>
    <x v="1"/>
    <x v="0"/>
    <x v="0"/>
    <x v="3"/>
    <n v="7224.44"/>
    <n v="9"/>
    <n v="624.22"/>
    <x v="1"/>
  </r>
  <r>
    <s v="ORD0114"/>
    <x v="108"/>
    <x v="9"/>
    <x v="0"/>
    <x v="0"/>
    <x v="0"/>
    <x v="3"/>
    <n v="3031.69"/>
    <n v="4"/>
    <n v="667.97"/>
    <x v="3"/>
  </r>
  <r>
    <s v="ORD0115"/>
    <x v="109"/>
    <x v="3"/>
    <x v="1"/>
    <x v="3"/>
    <x v="0"/>
    <x v="1"/>
    <n v="6208.67"/>
    <n v="10"/>
    <n v="496.06"/>
    <x v="2"/>
  </r>
  <r>
    <s v="ORD0116"/>
    <x v="110"/>
    <x v="9"/>
    <x v="0"/>
    <x v="1"/>
    <x v="0"/>
    <x v="2"/>
    <n v="1491.4"/>
    <n v="3"/>
    <n v="400.29"/>
    <x v="3"/>
  </r>
  <r>
    <s v="ORD0117"/>
    <x v="111"/>
    <x v="7"/>
    <x v="0"/>
    <x v="4"/>
    <x v="1"/>
    <x v="3"/>
    <n v="6862.61"/>
    <n v="10"/>
    <n v="566.91999999999996"/>
    <x v="3"/>
  </r>
  <r>
    <s v="ORD0118"/>
    <x v="112"/>
    <x v="10"/>
    <x v="0"/>
    <x v="1"/>
    <x v="0"/>
    <x v="1"/>
    <n v="3014"/>
    <n v="4"/>
    <n v="581.66"/>
    <x v="0"/>
  </r>
  <r>
    <s v="ORD0119"/>
    <x v="113"/>
    <x v="7"/>
    <x v="1"/>
    <x v="2"/>
    <x v="1"/>
    <x v="2"/>
    <n v="3272.7"/>
    <n v="8"/>
    <n v="369.58"/>
    <x v="3"/>
  </r>
  <r>
    <s v="ORD0120"/>
    <x v="114"/>
    <x v="5"/>
    <x v="1"/>
    <x v="4"/>
    <x v="1"/>
    <x v="1"/>
    <n v="1379.74"/>
    <n v="4"/>
    <n v="258.83999999999997"/>
    <x v="0"/>
  </r>
  <r>
    <s v="ORD0121"/>
    <x v="115"/>
    <x v="10"/>
    <x v="1"/>
    <x v="3"/>
    <x v="0"/>
    <x v="3"/>
    <n v="3455.87"/>
    <n v="9"/>
    <n v="278.02"/>
    <x v="0"/>
  </r>
  <r>
    <s v="ORD0122"/>
    <x v="116"/>
    <x v="6"/>
    <x v="0"/>
    <x v="4"/>
    <x v="1"/>
    <x v="3"/>
    <n v="537.25"/>
    <n v="4"/>
    <n v="114.11"/>
    <x v="1"/>
  </r>
  <r>
    <s v="ORD0123"/>
    <x v="36"/>
    <x v="2"/>
    <x v="0"/>
    <x v="1"/>
    <x v="0"/>
    <x v="1"/>
    <n v="2886.6"/>
    <n v="4"/>
    <n v="596.11"/>
    <x v="1"/>
  </r>
  <r>
    <s v="ORD0124"/>
    <x v="117"/>
    <x v="3"/>
    <x v="0"/>
    <x v="5"/>
    <x v="1"/>
    <x v="3"/>
    <n v="1249.68"/>
    <n v="4"/>
    <n v="251.07"/>
    <x v="2"/>
  </r>
  <r>
    <s v="ORD0125"/>
    <x v="118"/>
    <x v="4"/>
    <x v="1"/>
    <x v="4"/>
    <x v="1"/>
    <x v="0"/>
    <n v="1194.8800000000001"/>
    <n v="9"/>
    <n v="118.73"/>
    <x v="3"/>
  </r>
  <r>
    <s v="ORD0126"/>
    <x v="119"/>
    <x v="4"/>
    <x v="1"/>
    <x v="1"/>
    <x v="0"/>
    <x v="3"/>
    <n v="2175.4"/>
    <n v="3"/>
    <n v="517.54"/>
    <x v="3"/>
  </r>
  <r>
    <s v="ORD0127"/>
    <x v="120"/>
    <x v="1"/>
    <x v="1"/>
    <x v="1"/>
    <x v="0"/>
    <x v="0"/>
    <n v="2463.87"/>
    <n v="5"/>
    <n v="386.13"/>
    <x v="1"/>
  </r>
  <r>
    <s v="ORD0128"/>
    <x v="97"/>
    <x v="6"/>
    <x v="0"/>
    <x v="2"/>
    <x v="1"/>
    <x v="0"/>
    <n v="981.9"/>
    <n v="8"/>
    <n v="108.99"/>
    <x v="1"/>
  </r>
  <r>
    <s v="ORD0129"/>
    <x v="121"/>
    <x v="1"/>
    <x v="1"/>
    <x v="3"/>
    <x v="0"/>
    <x v="0"/>
    <n v="197.07"/>
    <n v="1"/>
    <n v="138.35"/>
    <x v="1"/>
  </r>
  <r>
    <s v="ORD0130"/>
    <x v="122"/>
    <x v="6"/>
    <x v="0"/>
    <x v="4"/>
    <x v="1"/>
    <x v="0"/>
    <n v="1153.25"/>
    <n v="2"/>
    <n v="455.3"/>
    <x v="1"/>
  </r>
  <r>
    <s v="ORD0131"/>
    <x v="123"/>
    <x v="11"/>
    <x v="1"/>
    <x v="5"/>
    <x v="1"/>
    <x v="1"/>
    <n v="3320.17"/>
    <n v="7"/>
    <n v="371.4"/>
    <x v="2"/>
  </r>
  <r>
    <s v="ORD0132"/>
    <x v="124"/>
    <x v="9"/>
    <x v="0"/>
    <x v="5"/>
    <x v="1"/>
    <x v="2"/>
    <n v="6778.39"/>
    <n v="10"/>
    <n v="504.4"/>
    <x v="3"/>
  </r>
  <r>
    <s v="ORD0133"/>
    <x v="125"/>
    <x v="1"/>
    <x v="0"/>
    <x v="0"/>
    <x v="0"/>
    <x v="0"/>
    <n v="1025.6600000000001"/>
    <n v="4"/>
    <n v="226.42"/>
    <x v="1"/>
  </r>
  <r>
    <s v="ORD0134"/>
    <x v="7"/>
    <x v="2"/>
    <x v="1"/>
    <x v="2"/>
    <x v="1"/>
    <x v="1"/>
    <n v="359.06"/>
    <n v="2"/>
    <n v="142.1"/>
    <x v="1"/>
  </r>
  <r>
    <s v="ORD0135"/>
    <x v="126"/>
    <x v="7"/>
    <x v="0"/>
    <x v="0"/>
    <x v="0"/>
    <x v="2"/>
    <n v="277.32"/>
    <n v="1"/>
    <n v="200.55"/>
    <x v="3"/>
  </r>
  <r>
    <s v="ORD0136"/>
    <x v="127"/>
    <x v="10"/>
    <x v="0"/>
    <x v="0"/>
    <x v="0"/>
    <x v="2"/>
    <n v="4192.47"/>
    <n v="4"/>
    <n v="740.65"/>
    <x v="0"/>
  </r>
  <r>
    <s v="ORD0137"/>
    <x v="115"/>
    <x v="10"/>
    <x v="1"/>
    <x v="0"/>
    <x v="0"/>
    <x v="1"/>
    <n v="1208.9100000000001"/>
    <n v="2"/>
    <n v="444.76"/>
    <x v="0"/>
  </r>
  <r>
    <s v="ORD0138"/>
    <x v="128"/>
    <x v="10"/>
    <x v="0"/>
    <x v="4"/>
    <x v="1"/>
    <x v="1"/>
    <n v="182.75"/>
    <n v="1"/>
    <n v="149.41999999999999"/>
    <x v="0"/>
  </r>
  <r>
    <s v="ORD0139"/>
    <x v="129"/>
    <x v="10"/>
    <x v="1"/>
    <x v="0"/>
    <x v="0"/>
    <x v="3"/>
    <n v="942.08"/>
    <n v="2"/>
    <n v="385.58"/>
    <x v="0"/>
  </r>
  <r>
    <s v="ORD0140"/>
    <x v="130"/>
    <x v="8"/>
    <x v="1"/>
    <x v="3"/>
    <x v="0"/>
    <x v="3"/>
    <n v="4128.41"/>
    <n v="9"/>
    <n v="405.16"/>
    <x v="2"/>
  </r>
  <r>
    <s v="ORD0141"/>
    <x v="108"/>
    <x v="9"/>
    <x v="0"/>
    <x v="1"/>
    <x v="0"/>
    <x v="2"/>
    <n v="2446.84"/>
    <n v="10"/>
    <n v="215.29"/>
    <x v="3"/>
  </r>
  <r>
    <s v="ORD0142"/>
    <x v="131"/>
    <x v="9"/>
    <x v="1"/>
    <x v="0"/>
    <x v="0"/>
    <x v="0"/>
    <n v="3298.6"/>
    <n v="5"/>
    <n v="469.47"/>
    <x v="3"/>
  </r>
  <r>
    <s v="ORD0143"/>
    <x v="132"/>
    <x v="11"/>
    <x v="1"/>
    <x v="2"/>
    <x v="1"/>
    <x v="2"/>
    <n v="6890.55"/>
    <n v="8"/>
    <n v="734.54"/>
    <x v="2"/>
  </r>
  <r>
    <s v="ORD0144"/>
    <x v="133"/>
    <x v="7"/>
    <x v="1"/>
    <x v="5"/>
    <x v="1"/>
    <x v="2"/>
    <n v="7994.49"/>
    <n v="8"/>
    <n v="775.86"/>
    <x v="3"/>
  </r>
  <r>
    <s v="ORD0145"/>
    <x v="134"/>
    <x v="9"/>
    <x v="0"/>
    <x v="3"/>
    <x v="0"/>
    <x v="3"/>
    <n v="1697.66"/>
    <n v="2"/>
    <n v="689.03"/>
    <x v="3"/>
  </r>
  <r>
    <s v="ORD0146"/>
    <x v="135"/>
    <x v="7"/>
    <x v="0"/>
    <x v="0"/>
    <x v="0"/>
    <x v="2"/>
    <n v="6048.5"/>
    <n v="7"/>
    <n v="654.58000000000004"/>
    <x v="3"/>
  </r>
  <r>
    <s v="ORD0147"/>
    <x v="136"/>
    <x v="9"/>
    <x v="0"/>
    <x v="3"/>
    <x v="0"/>
    <x v="0"/>
    <n v="2024.9"/>
    <n v="5"/>
    <n v="272.14999999999998"/>
    <x v="3"/>
  </r>
  <r>
    <s v="ORD0148"/>
    <x v="137"/>
    <x v="9"/>
    <x v="1"/>
    <x v="3"/>
    <x v="0"/>
    <x v="0"/>
    <n v="3839.58"/>
    <n v="9"/>
    <n v="380.34"/>
    <x v="3"/>
  </r>
  <r>
    <s v="ORD0149"/>
    <x v="138"/>
    <x v="6"/>
    <x v="1"/>
    <x v="5"/>
    <x v="1"/>
    <x v="3"/>
    <n v="5703.82"/>
    <n v="8"/>
    <n v="507.82"/>
    <x v="1"/>
  </r>
  <r>
    <s v="ORD0150"/>
    <x v="139"/>
    <x v="2"/>
    <x v="1"/>
    <x v="2"/>
    <x v="1"/>
    <x v="3"/>
    <n v="2844.74"/>
    <n v="3"/>
    <n v="743.58"/>
    <x v="1"/>
  </r>
  <r>
    <s v="ORD0151"/>
    <x v="140"/>
    <x v="8"/>
    <x v="0"/>
    <x v="0"/>
    <x v="0"/>
    <x v="2"/>
    <n v="1046.69"/>
    <n v="1"/>
    <n v="779.05"/>
    <x v="2"/>
  </r>
  <r>
    <s v="ORD0152"/>
    <x v="141"/>
    <x v="9"/>
    <x v="0"/>
    <x v="2"/>
    <x v="1"/>
    <x v="1"/>
    <n v="348.68"/>
    <n v="9"/>
    <n v="30.67"/>
    <x v="3"/>
  </r>
  <r>
    <s v="ORD0153"/>
    <x v="142"/>
    <x v="3"/>
    <x v="1"/>
    <x v="2"/>
    <x v="1"/>
    <x v="0"/>
    <n v="1220.1600000000001"/>
    <n v="2"/>
    <n v="525.21"/>
    <x v="2"/>
  </r>
  <r>
    <s v="ORD0154"/>
    <x v="143"/>
    <x v="11"/>
    <x v="1"/>
    <x v="0"/>
    <x v="0"/>
    <x v="3"/>
    <n v="2224.48"/>
    <n v="5"/>
    <n v="344.08"/>
    <x v="2"/>
  </r>
  <r>
    <s v="ORD0155"/>
    <x v="144"/>
    <x v="3"/>
    <x v="1"/>
    <x v="3"/>
    <x v="0"/>
    <x v="1"/>
    <n v="1406.06"/>
    <n v="9"/>
    <n v="132.82"/>
    <x v="2"/>
  </r>
  <r>
    <s v="ORD0156"/>
    <x v="145"/>
    <x v="10"/>
    <x v="0"/>
    <x v="5"/>
    <x v="1"/>
    <x v="1"/>
    <n v="4488.8599999999997"/>
    <n v="5"/>
    <n v="622.69000000000005"/>
    <x v="0"/>
  </r>
  <r>
    <s v="ORD0157"/>
    <x v="146"/>
    <x v="0"/>
    <x v="0"/>
    <x v="4"/>
    <x v="1"/>
    <x v="3"/>
    <n v="4206.82"/>
    <n v="5"/>
    <n v="586.32000000000005"/>
    <x v="0"/>
  </r>
  <r>
    <s v="ORD0158"/>
    <x v="147"/>
    <x v="11"/>
    <x v="0"/>
    <x v="5"/>
    <x v="1"/>
    <x v="2"/>
    <n v="4358.83"/>
    <n v="8"/>
    <n v="440.09"/>
    <x v="2"/>
  </r>
  <r>
    <s v="ORD0159"/>
    <x v="148"/>
    <x v="3"/>
    <x v="1"/>
    <x v="5"/>
    <x v="1"/>
    <x v="2"/>
    <n v="6252.39"/>
    <n v="6"/>
    <n v="698.29"/>
    <x v="2"/>
  </r>
  <r>
    <s v="ORD0160"/>
    <x v="149"/>
    <x v="1"/>
    <x v="0"/>
    <x v="2"/>
    <x v="1"/>
    <x v="2"/>
    <n v="528.79"/>
    <n v="7"/>
    <n v="54.04"/>
    <x v="1"/>
  </r>
  <r>
    <s v="ORD0161"/>
    <x v="150"/>
    <x v="0"/>
    <x v="1"/>
    <x v="0"/>
    <x v="0"/>
    <x v="2"/>
    <n v="1359.04"/>
    <n v="3"/>
    <n v="406.36"/>
    <x v="0"/>
  </r>
  <r>
    <s v="ORD0162"/>
    <x v="117"/>
    <x v="3"/>
    <x v="0"/>
    <x v="5"/>
    <x v="1"/>
    <x v="3"/>
    <n v="1145.3399999999999"/>
    <n v="8"/>
    <n v="97.78"/>
    <x v="2"/>
  </r>
  <r>
    <s v="ORD0163"/>
    <x v="151"/>
    <x v="5"/>
    <x v="1"/>
    <x v="1"/>
    <x v="0"/>
    <x v="1"/>
    <n v="332.12"/>
    <n v="3"/>
    <n v="78.37"/>
    <x v="0"/>
  </r>
  <r>
    <s v="ORD0164"/>
    <x v="152"/>
    <x v="6"/>
    <x v="1"/>
    <x v="4"/>
    <x v="1"/>
    <x v="3"/>
    <n v="5313.45"/>
    <n v="7"/>
    <n v="526.87"/>
    <x v="1"/>
  </r>
  <r>
    <s v="ORD0165"/>
    <x v="153"/>
    <x v="9"/>
    <x v="0"/>
    <x v="0"/>
    <x v="0"/>
    <x v="2"/>
    <n v="6244.51"/>
    <n v="8"/>
    <n v="700.46"/>
    <x v="3"/>
  </r>
  <r>
    <s v="ORD0166"/>
    <x v="154"/>
    <x v="7"/>
    <x v="1"/>
    <x v="1"/>
    <x v="0"/>
    <x v="1"/>
    <n v="5580.77"/>
    <n v="5"/>
    <n v="797.99"/>
    <x v="3"/>
  </r>
  <r>
    <s v="ORD0167"/>
    <x v="155"/>
    <x v="7"/>
    <x v="1"/>
    <x v="3"/>
    <x v="0"/>
    <x v="0"/>
    <n v="1008.6"/>
    <n v="2"/>
    <n v="366.07"/>
    <x v="3"/>
  </r>
  <r>
    <s v="ORD0168"/>
    <x v="110"/>
    <x v="9"/>
    <x v="0"/>
    <x v="1"/>
    <x v="0"/>
    <x v="0"/>
    <n v="311.02"/>
    <n v="1"/>
    <n v="248.83"/>
    <x v="3"/>
  </r>
  <r>
    <s v="ORD0169"/>
    <x v="156"/>
    <x v="11"/>
    <x v="1"/>
    <x v="2"/>
    <x v="1"/>
    <x v="1"/>
    <n v="4576.8500000000004"/>
    <n v="7"/>
    <n v="461.42"/>
    <x v="2"/>
  </r>
  <r>
    <s v="ORD0170"/>
    <x v="157"/>
    <x v="10"/>
    <x v="0"/>
    <x v="2"/>
    <x v="1"/>
    <x v="1"/>
    <n v="9425.08"/>
    <n v="10"/>
    <n v="699.25"/>
    <x v="0"/>
  </r>
  <r>
    <s v="ORD0171"/>
    <x v="16"/>
    <x v="1"/>
    <x v="1"/>
    <x v="2"/>
    <x v="1"/>
    <x v="2"/>
    <n v="817.61"/>
    <n v="3"/>
    <n v="201.11"/>
    <x v="1"/>
  </r>
  <r>
    <s v="ORD0172"/>
    <x v="158"/>
    <x v="9"/>
    <x v="1"/>
    <x v="3"/>
    <x v="0"/>
    <x v="3"/>
    <n v="927.47"/>
    <n v="1"/>
    <n v="721.15"/>
    <x v="3"/>
  </r>
  <r>
    <s v="ORD0173"/>
    <x v="159"/>
    <x v="10"/>
    <x v="0"/>
    <x v="4"/>
    <x v="1"/>
    <x v="1"/>
    <n v="9057.44"/>
    <n v="8"/>
    <n v="757.28"/>
    <x v="0"/>
  </r>
  <r>
    <s v="ORD0174"/>
    <x v="160"/>
    <x v="4"/>
    <x v="1"/>
    <x v="4"/>
    <x v="1"/>
    <x v="2"/>
    <n v="2297.21"/>
    <n v="5"/>
    <n v="376.33"/>
    <x v="3"/>
  </r>
  <r>
    <s v="ORD0175"/>
    <x v="161"/>
    <x v="3"/>
    <x v="0"/>
    <x v="3"/>
    <x v="0"/>
    <x v="2"/>
    <n v="1579.15"/>
    <n v="4"/>
    <n v="317.45999999999998"/>
    <x v="2"/>
  </r>
  <r>
    <s v="ORD0176"/>
    <x v="162"/>
    <x v="0"/>
    <x v="0"/>
    <x v="4"/>
    <x v="1"/>
    <x v="3"/>
    <n v="2173.4299999999998"/>
    <n v="7"/>
    <n v="234.09"/>
    <x v="0"/>
  </r>
  <r>
    <s v="ORD0177"/>
    <x v="68"/>
    <x v="6"/>
    <x v="1"/>
    <x v="0"/>
    <x v="0"/>
    <x v="0"/>
    <n v="7827.33"/>
    <n v="8"/>
    <n v="669.61"/>
    <x v="1"/>
  </r>
  <r>
    <s v="ORD0178"/>
    <x v="81"/>
    <x v="1"/>
    <x v="0"/>
    <x v="2"/>
    <x v="1"/>
    <x v="3"/>
    <n v="2765.79"/>
    <n v="4"/>
    <n v="504.3"/>
    <x v="1"/>
  </r>
  <r>
    <s v="ORD0179"/>
    <x v="163"/>
    <x v="7"/>
    <x v="1"/>
    <x v="0"/>
    <x v="0"/>
    <x v="1"/>
    <n v="1968.93"/>
    <n v="2"/>
    <n v="724.65"/>
    <x v="3"/>
  </r>
  <r>
    <s v="ORD0180"/>
    <x v="164"/>
    <x v="5"/>
    <x v="0"/>
    <x v="4"/>
    <x v="1"/>
    <x v="2"/>
    <n v="3510.6"/>
    <n v="10"/>
    <n v="304.58999999999997"/>
    <x v="0"/>
  </r>
  <r>
    <s v="ORD0181"/>
    <x v="165"/>
    <x v="10"/>
    <x v="1"/>
    <x v="4"/>
    <x v="1"/>
    <x v="3"/>
    <n v="749.54"/>
    <n v="3"/>
    <n v="176.62"/>
    <x v="0"/>
  </r>
  <r>
    <s v="ORD0182"/>
    <x v="166"/>
    <x v="11"/>
    <x v="0"/>
    <x v="4"/>
    <x v="1"/>
    <x v="3"/>
    <n v="5415.38"/>
    <n v="5"/>
    <n v="732.96"/>
    <x v="2"/>
  </r>
  <r>
    <s v="ORD0183"/>
    <x v="167"/>
    <x v="3"/>
    <x v="0"/>
    <x v="4"/>
    <x v="1"/>
    <x v="3"/>
    <n v="7132.63"/>
    <n v="8"/>
    <n v="771.06"/>
    <x v="2"/>
  </r>
  <r>
    <s v="ORD0184"/>
    <x v="82"/>
    <x v="2"/>
    <x v="1"/>
    <x v="2"/>
    <x v="1"/>
    <x v="2"/>
    <n v="682.55"/>
    <n v="6"/>
    <n v="90.44"/>
    <x v="1"/>
  </r>
  <r>
    <s v="ORD0185"/>
    <x v="96"/>
    <x v="3"/>
    <x v="1"/>
    <x v="4"/>
    <x v="1"/>
    <x v="0"/>
    <n v="4474.8599999999997"/>
    <n v="6"/>
    <n v="544.80999999999995"/>
    <x v="2"/>
  </r>
  <r>
    <s v="ORD0186"/>
    <x v="168"/>
    <x v="7"/>
    <x v="1"/>
    <x v="5"/>
    <x v="1"/>
    <x v="2"/>
    <n v="748.41"/>
    <n v="6"/>
    <n v="104.51"/>
    <x v="3"/>
  </r>
  <r>
    <s v="ORD0187"/>
    <x v="169"/>
    <x v="6"/>
    <x v="1"/>
    <x v="1"/>
    <x v="0"/>
    <x v="3"/>
    <n v="2844.66"/>
    <n v="4"/>
    <n v="525.16999999999996"/>
    <x v="1"/>
  </r>
  <r>
    <s v="ORD0188"/>
    <x v="170"/>
    <x v="7"/>
    <x v="1"/>
    <x v="3"/>
    <x v="0"/>
    <x v="3"/>
    <n v="868.87"/>
    <n v="7"/>
    <n v="111.01"/>
    <x v="3"/>
  </r>
  <r>
    <s v="ORD0189"/>
    <x v="171"/>
    <x v="8"/>
    <x v="1"/>
    <x v="1"/>
    <x v="0"/>
    <x v="3"/>
    <n v="278.79000000000002"/>
    <n v="2"/>
    <n v="95.81"/>
    <x v="2"/>
  </r>
  <r>
    <s v="ORD0190"/>
    <x v="172"/>
    <x v="3"/>
    <x v="1"/>
    <x v="2"/>
    <x v="1"/>
    <x v="2"/>
    <n v="4552.09"/>
    <n v="6"/>
    <n v="542.98"/>
    <x v="2"/>
  </r>
  <r>
    <s v="ORD0191"/>
    <x v="173"/>
    <x v="1"/>
    <x v="1"/>
    <x v="5"/>
    <x v="1"/>
    <x v="2"/>
    <n v="2903.53"/>
    <n v="3"/>
    <n v="710.62"/>
    <x v="1"/>
  </r>
  <r>
    <s v="ORD0192"/>
    <x v="111"/>
    <x v="7"/>
    <x v="0"/>
    <x v="3"/>
    <x v="0"/>
    <x v="2"/>
    <n v="662.79"/>
    <n v="1"/>
    <n v="558.41999999999996"/>
    <x v="3"/>
  </r>
  <r>
    <s v="ORD0193"/>
    <x v="174"/>
    <x v="0"/>
    <x v="1"/>
    <x v="3"/>
    <x v="0"/>
    <x v="1"/>
    <n v="1957.99"/>
    <n v="2"/>
    <n v="785.12"/>
    <x v="0"/>
  </r>
  <r>
    <s v="ORD0194"/>
    <x v="35"/>
    <x v="10"/>
    <x v="0"/>
    <x v="0"/>
    <x v="0"/>
    <x v="3"/>
    <n v="2448.56"/>
    <n v="7"/>
    <n v="235.19"/>
    <x v="0"/>
  </r>
  <r>
    <s v="ORD0195"/>
    <x v="175"/>
    <x v="9"/>
    <x v="1"/>
    <x v="3"/>
    <x v="0"/>
    <x v="0"/>
    <n v="2787.66"/>
    <n v="4"/>
    <n v="520.53"/>
    <x v="3"/>
  </r>
  <r>
    <s v="ORD0196"/>
    <x v="176"/>
    <x v="4"/>
    <x v="0"/>
    <x v="1"/>
    <x v="0"/>
    <x v="0"/>
    <n v="4477.9799999999996"/>
    <n v="4"/>
    <n v="791.28"/>
    <x v="3"/>
  </r>
  <r>
    <s v="ORD0197"/>
    <x v="177"/>
    <x v="2"/>
    <x v="1"/>
    <x v="2"/>
    <x v="1"/>
    <x v="0"/>
    <n v="2721.49"/>
    <n v="4"/>
    <n v="477.38"/>
    <x v="1"/>
  </r>
  <r>
    <s v="ORD0198"/>
    <x v="178"/>
    <x v="11"/>
    <x v="0"/>
    <x v="2"/>
    <x v="1"/>
    <x v="3"/>
    <n v="320.57"/>
    <n v="10"/>
    <n v="22.21"/>
    <x v="2"/>
  </r>
  <r>
    <s v="ORD0199"/>
    <x v="179"/>
    <x v="2"/>
    <x v="1"/>
    <x v="2"/>
    <x v="1"/>
    <x v="1"/>
    <n v="3676.95"/>
    <n v="5"/>
    <n v="642.84"/>
    <x v="1"/>
  </r>
  <r>
    <s v="ORD0200"/>
    <x v="180"/>
    <x v="0"/>
    <x v="0"/>
    <x v="1"/>
    <x v="0"/>
    <x v="1"/>
    <n v="4562.1400000000003"/>
    <n v="6"/>
    <n v="636.19000000000005"/>
    <x v="0"/>
  </r>
  <r>
    <s v="ORD0201"/>
    <x v="181"/>
    <x v="11"/>
    <x v="0"/>
    <x v="4"/>
    <x v="1"/>
    <x v="0"/>
    <n v="425.08"/>
    <n v="5"/>
    <n v="60.87"/>
    <x v="2"/>
  </r>
  <r>
    <s v="ORD0202"/>
    <x v="182"/>
    <x v="10"/>
    <x v="0"/>
    <x v="5"/>
    <x v="1"/>
    <x v="0"/>
    <n v="3681.17"/>
    <n v="8"/>
    <n v="369.65"/>
    <x v="0"/>
  </r>
  <r>
    <s v="ORD0203"/>
    <x v="183"/>
    <x v="3"/>
    <x v="1"/>
    <x v="5"/>
    <x v="1"/>
    <x v="0"/>
    <n v="2335.77"/>
    <n v="9"/>
    <n v="192.81"/>
    <x v="2"/>
  </r>
  <r>
    <s v="ORD0204"/>
    <x v="48"/>
    <x v="3"/>
    <x v="1"/>
    <x v="0"/>
    <x v="0"/>
    <x v="3"/>
    <n v="87.11"/>
    <n v="1"/>
    <n v="67.44"/>
    <x v="2"/>
  </r>
  <r>
    <s v="ORD0205"/>
    <x v="184"/>
    <x v="4"/>
    <x v="1"/>
    <x v="3"/>
    <x v="0"/>
    <x v="2"/>
    <n v="1178.1600000000001"/>
    <n v="2"/>
    <n v="402.41"/>
    <x v="3"/>
  </r>
  <r>
    <s v="ORD0206"/>
    <x v="185"/>
    <x v="9"/>
    <x v="0"/>
    <x v="1"/>
    <x v="0"/>
    <x v="0"/>
    <n v="1561.2"/>
    <n v="10"/>
    <n v="135.69999999999999"/>
    <x v="3"/>
  </r>
  <r>
    <s v="ORD0207"/>
    <x v="186"/>
    <x v="0"/>
    <x v="1"/>
    <x v="5"/>
    <x v="1"/>
    <x v="3"/>
    <n v="5559.47"/>
    <n v="10"/>
    <n v="433.83"/>
    <x v="0"/>
  </r>
  <r>
    <s v="ORD0208"/>
    <x v="187"/>
    <x v="3"/>
    <x v="0"/>
    <x v="5"/>
    <x v="1"/>
    <x v="2"/>
    <n v="1864.19"/>
    <n v="2"/>
    <n v="685.18"/>
    <x v="2"/>
  </r>
  <r>
    <s v="ORD0209"/>
    <x v="188"/>
    <x v="10"/>
    <x v="1"/>
    <x v="5"/>
    <x v="1"/>
    <x v="1"/>
    <n v="7215.62"/>
    <n v="8"/>
    <n v="712.71"/>
    <x v="0"/>
  </r>
  <r>
    <s v="ORD0210"/>
    <x v="165"/>
    <x v="10"/>
    <x v="1"/>
    <x v="3"/>
    <x v="0"/>
    <x v="2"/>
    <n v="646.29"/>
    <n v="2"/>
    <n v="263.79000000000002"/>
    <x v="0"/>
  </r>
  <r>
    <s v="ORD0211"/>
    <x v="189"/>
    <x v="11"/>
    <x v="0"/>
    <x v="4"/>
    <x v="1"/>
    <x v="3"/>
    <n v="829.37"/>
    <n v="8"/>
    <n v="72.36"/>
    <x v="2"/>
  </r>
  <r>
    <s v="ORD0212"/>
    <x v="190"/>
    <x v="3"/>
    <x v="0"/>
    <x v="1"/>
    <x v="0"/>
    <x v="2"/>
    <n v="5183.17"/>
    <n v="6"/>
    <n v="653.17999999999995"/>
    <x v="2"/>
  </r>
  <r>
    <s v="ORD0213"/>
    <x v="191"/>
    <x v="9"/>
    <x v="1"/>
    <x v="5"/>
    <x v="1"/>
    <x v="3"/>
    <n v="986.87"/>
    <n v="2"/>
    <n v="340.43"/>
    <x v="3"/>
  </r>
  <r>
    <s v="ORD0214"/>
    <x v="192"/>
    <x v="7"/>
    <x v="0"/>
    <x v="3"/>
    <x v="0"/>
    <x v="0"/>
    <n v="3010.09"/>
    <n v="10"/>
    <n v="263.70999999999998"/>
    <x v="3"/>
  </r>
  <r>
    <s v="ORD0215"/>
    <x v="193"/>
    <x v="11"/>
    <x v="0"/>
    <x v="5"/>
    <x v="1"/>
    <x v="1"/>
    <n v="1782.71"/>
    <n v="8"/>
    <n v="194.91"/>
    <x v="2"/>
  </r>
  <r>
    <s v="ORD0216"/>
    <x v="167"/>
    <x v="3"/>
    <x v="0"/>
    <x v="5"/>
    <x v="1"/>
    <x v="3"/>
    <n v="3328.14"/>
    <n v="5"/>
    <n v="467.8"/>
    <x v="2"/>
  </r>
  <r>
    <s v="ORD0217"/>
    <x v="11"/>
    <x v="6"/>
    <x v="1"/>
    <x v="5"/>
    <x v="1"/>
    <x v="0"/>
    <n v="257.45999999999998"/>
    <n v="5"/>
    <n v="42.58"/>
    <x v="1"/>
  </r>
  <r>
    <s v="ORD0218"/>
    <x v="194"/>
    <x v="4"/>
    <x v="0"/>
    <x v="4"/>
    <x v="1"/>
    <x v="3"/>
    <n v="186.9"/>
    <n v="1"/>
    <n v="161.5"/>
    <x v="3"/>
  </r>
  <r>
    <s v="ORD0219"/>
    <x v="145"/>
    <x v="10"/>
    <x v="0"/>
    <x v="0"/>
    <x v="0"/>
    <x v="2"/>
    <n v="2670.59"/>
    <n v="3"/>
    <n v="597.96"/>
    <x v="0"/>
  </r>
  <r>
    <s v="ORD0220"/>
    <x v="195"/>
    <x v="0"/>
    <x v="1"/>
    <x v="1"/>
    <x v="0"/>
    <x v="1"/>
    <n v="3043.34"/>
    <n v="7"/>
    <n v="373.84"/>
    <x v="0"/>
  </r>
  <r>
    <s v="ORD0221"/>
    <x v="196"/>
    <x v="1"/>
    <x v="1"/>
    <x v="4"/>
    <x v="1"/>
    <x v="3"/>
    <n v="967.12"/>
    <n v="10"/>
    <n v="86.27"/>
    <x v="1"/>
  </r>
  <r>
    <s v="ORD0222"/>
    <x v="197"/>
    <x v="9"/>
    <x v="1"/>
    <x v="2"/>
    <x v="1"/>
    <x v="0"/>
    <n v="633.91"/>
    <n v="2"/>
    <n v="232.24"/>
    <x v="3"/>
  </r>
  <r>
    <s v="ORD0223"/>
    <x v="79"/>
    <x v="5"/>
    <x v="1"/>
    <x v="3"/>
    <x v="0"/>
    <x v="2"/>
    <n v="1227.56"/>
    <n v="5"/>
    <n v="188.14"/>
    <x v="0"/>
  </r>
  <r>
    <s v="ORD0224"/>
    <x v="198"/>
    <x v="3"/>
    <x v="0"/>
    <x v="4"/>
    <x v="1"/>
    <x v="2"/>
    <n v="3670.83"/>
    <n v="5"/>
    <n v="549.01"/>
    <x v="2"/>
  </r>
  <r>
    <s v="ORD0225"/>
    <x v="199"/>
    <x v="5"/>
    <x v="0"/>
    <x v="5"/>
    <x v="1"/>
    <x v="3"/>
    <n v="1759.39"/>
    <n v="4"/>
    <n v="328.31"/>
    <x v="0"/>
  </r>
  <r>
    <s v="ORD0226"/>
    <x v="200"/>
    <x v="9"/>
    <x v="0"/>
    <x v="1"/>
    <x v="0"/>
    <x v="1"/>
    <n v="3477.78"/>
    <n v="4"/>
    <n v="618.53"/>
    <x v="3"/>
  </r>
  <r>
    <s v="ORD0227"/>
    <x v="201"/>
    <x v="8"/>
    <x v="0"/>
    <x v="4"/>
    <x v="1"/>
    <x v="3"/>
    <n v="519.03"/>
    <n v="1"/>
    <n v="407.96"/>
    <x v="2"/>
  </r>
  <r>
    <s v="ORD0228"/>
    <x v="202"/>
    <x v="11"/>
    <x v="1"/>
    <x v="2"/>
    <x v="1"/>
    <x v="2"/>
    <n v="2351.83"/>
    <n v="4"/>
    <n v="410.2"/>
    <x v="2"/>
  </r>
  <r>
    <s v="ORD0229"/>
    <x v="102"/>
    <x v="5"/>
    <x v="1"/>
    <x v="4"/>
    <x v="1"/>
    <x v="0"/>
    <n v="462.53"/>
    <n v="1"/>
    <n v="360.25"/>
    <x v="0"/>
  </r>
  <r>
    <s v="ORD0230"/>
    <x v="203"/>
    <x v="1"/>
    <x v="1"/>
    <x v="1"/>
    <x v="0"/>
    <x v="3"/>
    <n v="4526.0600000000004"/>
    <n v="7"/>
    <n v="467.25"/>
    <x v="1"/>
  </r>
  <r>
    <s v="ORD0231"/>
    <x v="167"/>
    <x v="3"/>
    <x v="0"/>
    <x v="3"/>
    <x v="0"/>
    <x v="3"/>
    <n v="312.26"/>
    <n v="7"/>
    <n v="36.270000000000003"/>
    <x v="2"/>
  </r>
  <r>
    <s v="ORD0232"/>
    <x v="160"/>
    <x v="4"/>
    <x v="1"/>
    <x v="5"/>
    <x v="1"/>
    <x v="2"/>
    <n v="765.54"/>
    <n v="6"/>
    <n v="88.74"/>
    <x v="3"/>
  </r>
  <r>
    <s v="ORD0233"/>
    <x v="204"/>
    <x v="1"/>
    <x v="1"/>
    <x v="2"/>
    <x v="1"/>
    <x v="2"/>
    <n v="3775.96"/>
    <n v="7"/>
    <n v="428.69"/>
    <x v="1"/>
  </r>
  <r>
    <s v="ORD0234"/>
    <x v="205"/>
    <x v="1"/>
    <x v="0"/>
    <x v="4"/>
    <x v="1"/>
    <x v="3"/>
    <n v="4257.95"/>
    <n v="6"/>
    <n v="627.71"/>
    <x v="1"/>
  </r>
  <r>
    <s v="ORD0235"/>
    <x v="156"/>
    <x v="11"/>
    <x v="1"/>
    <x v="0"/>
    <x v="0"/>
    <x v="0"/>
    <n v="2173.79"/>
    <n v="9"/>
    <n v="171.24"/>
    <x v="2"/>
  </r>
  <r>
    <s v="ORD0236"/>
    <x v="206"/>
    <x v="1"/>
    <x v="0"/>
    <x v="4"/>
    <x v="1"/>
    <x v="1"/>
    <n v="316.49"/>
    <n v="2"/>
    <n v="134.22999999999999"/>
    <x v="1"/>
  </r>
  <r>
    <s v="ORD0237"/>
    <x v="207"/>
    <x v="9"/>
    <x v="1"/>
    <x v="5"/>
    <x v="1"/>
    <x v="1"/>
    <n v="445.77"/>
    <n v="2"/>
    <n v="158.16999999999999"/>
    <x v="3"/>
  </r>
  <r>
    <s v="ORD0238"/>
    <x v="100"/>
    <x v="2"/>
    <x v="1"/>
    <x v="3"/>
    <x v="0"/>
    <x v="2"/>
    <n v="5439.95"/>
    <n v="10"/>
    <n v="370.15"/>
    <x v="1"/>
  </r>
  <r>
    <s v="ORD0239"/>
    <x v="208"/>
    <x v="7"/>
    <x v="1"/>
    <x v="5"/>
    <x v="1"/>
    <x v="3"/>
    <n v="931.73"/>
    <n v="6"/>
    <n v="137.75"/>
    <x v="3"/>
  </r>
  <r>
    <s v="ORD0240"/>
    <x v="209"/>
    <x v="7"/>
    <x v="0"/>
    <x v="3"/>
    <x v="0"/>
    <x v="3"/>
    <n v="831.4"/>
    <n v="10"/>
    <n v="63.81"/>
    <x v="3"/>
  </r>
  <r>
    <s v="ORD0241"/>
    <x v="183"/>
    <x v="3"/>
    <x v="1"/>
    <x v="4"/>
    <x v="1"/>
    <x v="2"/>
    <n v="92.22"/>
    <n v="1"/>
    <n v="64.37"/>
    <x v="2"/>
  </r>
  <r>
    <s v="ORD0242"/>
    <x v="210"/>
    <x v="6"/>
    <x v="1"/>
    <x v="1"/>
    <x v="0"/>
    <x v="0"/>
    <n v="5339.66"/>
    <n v="10"/>
    <n v="415.51"/>
    <x v="1"/>
  </r>
  <r>
    <s v="ORD0243"/>
    <x v="211"/>
    <x v="3"/>
    <x v="1"/>
    <x v="5"/>
    <x v="1"/>
    <x v="0"/>
    <n v="6492.35"/>
    <n v="10"/>
    <n v="528.42999999999995"/>
    <x v="2"/>
  </r>
  <r>
    <s v="ORD0244"/>
    <x v="212"/>
    <x v="10"/>
    <x v="0"/>
    <x v="3"/>
    <x v="0"/>
    <x v="1"/>
    <n v="1176.24"/>
    <n v="8"/>
    <n v="100.73"/>
    <x v="0"/>
  </r>
  <r>
    <s v="ORD0245"/>
    <x v="213"/>
    <x v="8"/>
    <x v="1"/>
    <x v="4"/>
    <x v="1"/>
    <x v="0"/>
    <n v="209.66"/>
    <n v="3"/>
    <n v="50.53"/>
    <x v="2"/>
  </r>
  <r>
    <s v="ORD0246"/>
    <x v="70"/>
    <x v="0"/>
    <x v="1"/>
    <x v="3"/>
    <x v="0"/>
    <x v="1"/>
    <n v="5541.86"/>
    <n v="6"/>
    <n v="735.99"/>
    <x v="0"/>
  </r>
  <r>
    <s v="ORD0247"/>
    <x v="154"/>
    <x v="7"/>
    <x v="1"/>
    <x v="4"/>
    <x v="1"/>
    <x v="0"/>
    <n v="487.5"/>
    <n v="6"/>
    <n v="71.41"/>
    <x v="3"/>
  </r>
  <r>
    <s v="ORD0248"/>
    <x v="214"/>
    <x v="7"/>
    <x v="0"/>
    <x v="0"/>
    <x v="0"/>
    <x v="2"/>
    <n v="3982.34"/>
    <n v="5"/>
    <n v="584.51"/>
    <x v="3"/>
  </r>
  <r>
    <s v="ORD0249"/>
    <x v="176"/>
    <x v="4"/>
    <x v="0"/>
    <x v="5"/>
    <x v="1"/>
    <x v="1"/>
    <n v="1097.68"/>
    <n v="2"/>
    <n v="474.54"/>
    <x v="3"/>
  </r>
  <r>
    <s v="ORD0250"/>
    <x v="207"/>
    <x v="9"/>
    <x v="1"/>
    <x v="4"/>
    <x v="1"/>
    <x v="3"/>
    <n v="1167.79"/>
    <n v="7"/>
    <n v="120.58"/>
    <x v="3"/>
  </r>
  <r>
    <s v="ORD0251"/>
    <x v="215"/>
    <x v="2"/>
    <x v="1"/>
    <x v="1"/>
    <x v="0"/>
    <x v="3"/>
    <n v="4498.8100000000004"/>
    <n v="7"/>
    <n v="521.91999999999996"/>
    <x v="1"/>
  </r>
  <r>
    <s v="ORD0252"/>
    <x v="113"/>
    <x v="7"/>
    <x v="1"/>
    <x v="2"/>
    <x v="1"/>
    <x v="0"/>
    <n v="3229.24"/>
    <n v="7"/>
    <n v="416.62"/>
    <x v="3"/>
  </r>
  <r>
    <s v="ORD0253"/>
    <x v="216"/>
    <x v="1"/>
    <x v="0"/>
    <x v="4"/>
    <x v="1"/>
    <x v="1"/>
    <n v="5896.59"/>
    <n v="6"/>
    <n v="759.18"/>
    <x v="1"/>
  </r>
  <r>
    <s v="ORD0254"/>
    <x v="193"/>
    <x v="11"/>
    <x v="0"/>
    <x v="2"/>
    <x v="1"/>
    <x v="1"/>
    <n v="709.66"/>
    <n v="2"/>
    <n v="250.72"/>
    <x v="2"/>
  </r>
  <r>
    <s v="ORD0255"/>
    <x v="217"/>
    <x v="9"/>
    <x v="1"/>
    <x v="5"/>
    <x v="1"/>
    <x v="0"/>
    <n v="5687.31"/>
    <n v="6"/>
    <n v="703.59"/>
    <x v="3"/>
  </r>
  <r>
    <s v="ORD0256"/>
    <x v="218"/>
    <x v="11"/>
    <x v="0"/>
    <x v="5"/>
    <x v="1"/>
    <x v="2"/>
    <n v="665.41"/>
    <n v="3"/>
    <n v="161.06"/>
    <x v="2"/>
  </r>
  <r>
    <s v="ORD0257"/>
    <x v="219"/>
    <x v="10"/>
    <x v="1"/>
    <x v="5"/>
    <x v="1"/>
    <x v="1"/>
    <n v="466.63"/>
    <n v="1"/>
    <n v="340.47"/>
    <x v="0"/>
  </r>
  <r>
    <s v="ORD0258"/>
    <x v="220"/>
    <x v="6"/>
    <x v="1"/>
    <x v="2"/>
    <x v="1"/>
    <x v="2"/>
    <n v="4289.1099999999997"/>
    <n v="5"/>
    <n v="606.87"/>
    <x v="1"/>
  </r>
  <r>
    <s v="ORD0259"/>
    <x v="221"/>
    <x v="9"/>
    <x v="0"/>
    <x v="2"/>
    <x v="1"/>
    <x v="1"/>
    <n v="6831.06"/>
    <n v="8"/>
    <n v="725.1"/>
    <x v="3"/>
  </r>
  <r>
    <s v="ORD0260"/>
    <x v="142"/>
    <x v="3"/>
    <x v="1"/>
    <x v="0"/>
    <x v="0"/>
    <x v="2"/>
    <n v="4078.75"/>
    <n v="5"/>
    <n v="626.94000000000005"/>
    <x v="2"/>
  </r>
  <r>
    <s v="ORD0261"/>
    <x v="99"/>
    <x v="2"/>
    <x v="0"/>
    <x v="3"/>
    <x v="0"/>
    <x v="1"/>
    <n v="1535.4"/>
    <n v="10"/>
    <n v="127.95"/>
    <x v="1"/>
  </r>
  <r>
    <s v="ORD0262"/>
    <x v="222"/>
    <x v="0"/>
    <x v="1"/>
    <x v="0"/>
    <x v="0"/>
    <x v="2"/>
    <n v="9330.2099999999991"/>
    <n v="9"/>
    <n v="748.75"/>
    <x v="0"/>
  </r>
  <r>
    <s v="ORD0263"/>
    <x v="223"/>
    <x v="7"/>
    <x v="0"/>
    <x v="5"/>
    <x v="1"/>
    <x v="0"/>
    <n v="1487.77"/>
    <n v="2"/>
    <n v="615.23"/>
    <x v="3"/>
  </r>
  <r>
    <s v="ORD0264"/>
    <x v="224"/>
    <x v="10"/>
    <x v="1"/>
    <x v="5"/>
    <x v="1"/>
    <x v="1"/>
    <n v="1802.72"/>
    <n v="2"/>
    <n v="758.2"/>
    <x v="0"/>
  </r>
  <r>
    <s v="ORD0265"/>
    <x v="225"/>
    <x v="0"/>
    <x v="0"/>
    <x v="3"/>
    <x v="0"/>
    <x v="3"/>
    <n v="560.36"/>
    <n v="7"/>
    <n v="61.54"/>
    <x v="0"/>
  </r>
  <r>
    <s v="ORD0266"/>
    <x v="226"/>
    <x v="10"/>
    <x v="0"/>
    <x v="2"/>
    <x v="1"/>
    <x v="2"/>
    <n v="1437.18"/>
    <n v="6"/>
    <n v="195.14"/>
    <x v="0"/>
  </r>
  <r>
    <s v="ORD0267"/>
    <x v="227"/>
    <x v="8"/>
    <x v="0"/>
    <x v="1"/>
    <x v="0"/>
    <x v="3"/>
    <n v="219.52"/>
    <n v="3"/>
    <n v="49.88"/>
    <x v="2"/>
  </r>
  <r>
    <s v="ORD0268"/>
    <x v="228"/>
    <x v="4"/>
    <x v="1"/>
    <x v="3"/>
    <x v="0"/>
    <x v="1"/>
    <n v="3261.42"/>
    <n v="8"/>
    <n v="369.91"/>
    <x v="3"/>
  </r>
  <r>
    <s v="ORD0269"/>
    <x v="229"/>
    <x v="6"/>
    <x v="0"/>
    <x v="1"/>
    <x v="0"/>
    <x v="0"/>
    <n v="3543.02"/>
    <n v="4"/>
    <n v="671.27"/>
    <x v="1"/>
  </r>
  <r>
    <s v="ORD0270"/>
    <x v="198"/>
    <x v="3"/>
    <x v="0"/>
    <x v="0"/>
    <x v="0"/>
    <x v="2"/>
    <n v="1179.53"/>
    <n v="5"/>
    <n v="205.36"/>
    <x v="2"/>
  </r>
  <r>
    <s v="ORD0271"/>
    <x v="22"/>
    <x v="7"/>
    <x v="1"/>
    <x v="2"/>
    <x v="1"/>
    <x v="2"/>
    <n v="4309.0200000000004"/>
    <n v="10"/>
    <n v="376.55"/>
    <x v="3"/>
  </r>
  <r>
    <s v="ORD0272"/>
    <x v="230"/>
    <x v="7"/>
    <x v="1"/>
    <x v="3"/>
    <x v="0"/>
    <x v="0"/>
    <n v="5850.55"/>
    <n v="9"/>
    <n v="468.54"/>
    <x v="3"/>
  </r>
  <r>
    <s v="ORD0273"/>
    <x v="231"/>
    <x v="0"/>
    <x v="0"/>
    <x v="4"/>
    <x v="1"/>
    <x v="2"/>
    <n v="3921.04"/>
    <n v="10"/>
    <n v="295.2"/>
    <x v="0"/>
  </r>
  <r>
    <s v="ORD0274"/>
    <x v="232"/>
    <x v="11"/>
    <x v="1"/>
    <x v="2"/>
    <x v="1"/>
    <x v="0"/>
    <n v="572.30999999999995"/>
    <n v="6"/>
    <n v="72.790000000000006"/>
    <x v="2"/>
  </r>
  <r>
    <s v="ORD0275"/>
    <x v="233"/>
    <x v="5"/>
    <x v="1"/>
    <x v="5"/>
    <x v="1"/>
    <x v="0"/>
    <n v="541.65"/>
    <n v="8"/>
    <n v="53.96"/>
    <x v="0"/>
  </r>
  <r>
    <s v="ORD0276"/>
    <x v="234"/>
    <x v="0"/>
    <x v="0"/>
    <x v="4"/>
    <x v="1"/>
    <x v="3"/>
    <n v="4716.8500000000004"/>
    <n v="6"/>
    <n v="635.04999999999995"/>
    <x v="0"/>
  </r>
  <r>
    <s v="ORD0277"/>
    <x v="235"/>
    <x v="1"/>
    <x v="1"/>
    <x v="0"/>
    <x v="0"/>
    <x v="0"/>
    <n v="923.69"/>
    <n v="6"/>
    <n v="124.06"/>
    <x v="1"/>
  </r>
  <r>
    <s v="ORD0278"/>
    <x v="236"/>
    <x v="4"/>
    <x v="1"/>
    <x v="4"/>
    <x v="1"/>
    <x v="1"/>
    <n v="8110.48"/>
    <n v="8"/>
    <n v="785.04"/>
    <x v="3"/>
  </r>
  <r>
    <s v="ORD0279"/>
    <x v="237"/>
    <x v="10"/>
    <x v="0"/>
    <x v="2"/>
    <x v="1"/>
    <x v="1"/>
    <n v="461.39"/>
    <n v="8"/>
    <n v="48.85"/>
    <x v="0"/>
  </r>
  <r>
    <s v="ORD0280"/>
    <x v="238"/>
    <x v="9"/>
    <x v="0"/>
    <x v="2"/>
    <x v="1"/>
    <x v="0"/>
    <n v="3155.82"/>
    <n v="5"/>
    <n v="422"/>
    <x v="3"/>
  </r>
  <r>
    <s v="ORD0281"/>
    <x v="239"/>
    <x v="6"/>
    <x v="0"/>
    <x v="5"/>
    <x v="1"/>
    <x v="2"/>
    <n v="714.77"/>
    <n v="1"/>
    <n v="607.57000000000005"/>
    <x v="1"/>
  </r>
  <r>
    <s v="ORD0282"/>
    <x v="207"/>
    <x v="9"/>
    <x v="1"/>
    <x v="4"/>
    <x v="1"/>
    <x v="0"/>
    <n v="1985.73"/>
    <n v="6"/>
    <n v="233.11"/>
    <x v="3"/>
  </r>
  <r>
    <s v="ORD0283"/>
    <x v="240"/>
    <x v="10"/>
    <x v="1"/>
    <x v="3"/>
    <x v="0"/>
    <x v="2"/>
    <n v="2339.06"/>
    <n v="7"/>
    <n v="284.45"/>
    <x v="0"/>
  </r>
  <r>
    <s v="ORD0284"/>
    <x v="241"/>
    <x v="0"/>
    <x v="1"/>
    <x v="0"/>
    <x v="0"/>
    <x v="2"/>
    <n v="2325.42"/>
    <n v="9"/>
    <n v="228.04"/>
    <x v="0"/>
  </r>
  <r>
    <s v="ORD0285"/>
    <x v="188"/>
    <x v="10"/>
    <x v="1"/>
    <x v="3"/>
    <x v="0"/>
    <x v="0"/>
    <n v="9332.68"/>
    <n v="10"/>
    <n v="796.18"/>
    <x v="0"/>
  </r>
  <r>
    <s v="ORD0286"/>
    <x v="242"/>
    <x v="3"/>
    <x v="0"/>
    <x v="4"/>
    <x v="1"/>
    <x v="3"/>
    <n v="671.94"/>
    <n v="2"/>
    <n v="275.77999999999997"/>
    <x v="2"/>
  </r>
  <r>
    <s v="ORD0287"/>
    <x v="243"/>
    <x v="11"/>
    <x v="0"/>
    <x v="3"/>
    <x v="0"/>
    <x v="2"/>
    <n v="2628.92"/>
    <n v="8"/>
    <n v="294.20999999999998"/>
    <x v="2"/>
  </r>
  <r>
    <s v="ORD0288"/>
    <x v="209"/>
    <x v="7"/>
    <x v="0"/>
    <x v="4"/>
    <x v="1"/>
    <x v="2"/>
    <n v="106.41"/>
    <n v="1"/>
    <n v="78.53"/>
    <x v="3"/>
  </r>
  <r>
    <s v="ORD0289"/>
    <x v="244"/>
    <x v="5"/>
    <x v="0"/>
    <x v="4"/>
    <x v="1"/>
    <x v="1"/>
    <n v="2805.38"/>
    <n v="3"/>
    <n v="681.96"/>
    <x v="0"/>
  </r>
  <r>
    <s v="ORD0290"/>
    <x v="245"/>
    <x v="8"/>
    <x v="0"/>
    <x v="3"/>
    <x v="0"/>
    <x v="0"/>
    <n v="554.30999999999995"/>
    <n v="2"/>
    <n v="204.08"/>
    <x v="2"/>
  </r>
  <r>
    <s v="ORD0291"/>
    <x v="246"/>
    <x v="1"/>
    <x v="1"/>
    <x v="4"/>
    <x v="1"/>
    <x v="2"/>
    <n v="674.8"/>
    <n v="1"/>
    <n v="491.97"/>
    <x v="1"/>
  </r>
  <r>
    <s v="ORD0292"/>
    <x v="247"/>
    <x v="10"/>
    <x v="1"/>
    <x v="4"/>
    <x v="1"/>
    <x v="3"/>
    <n v="1226.94"/>
    <n v="2"/>
    <n v="467.66"/>
    <x v="0"/>
  </r>
  <r>
    <s v="ORD0293"/>
    <x v="248"/>
    <x v="7"/>
    <x v="1"/>
    <x v="3"/>
    <x v="0"/>
    <x v="3"/>
    <n v="1229.56"/>
    <n v="5"/>
    <n v="214.7"/>
    <x v="3"/>
  </r>
  <r>
    <s v="ORD0294"/>
    <x v="249"/>
    <x v="8"/>
    <x v="1"/>
    <x v="0"/>
    <x v="0"/>
    <x v="1"/>
    <n v="3837.1"/>
    <n v="9"/>
    <n v="321.85000000000002"/>
    <x v="2"/>
  </r>
  <r>
    <s v="ORD0295"/>
    <x v="250"/>
    <x v="4"/>
    <x v="1"/>
    <x v="4"/>
    <x v="1"/>
    <x v="3"/>
    <n v="2015.62"/>
    <n v="8"/>
    <n v="187.36"/>
    <x v="3"/>
  </r>
  <r>
    <s v="ORD0296"/>
    <x v="99"/>
    <x v="2"/>
    <x v="0"/>
    <x v="0"/>
    <x v="0"/>
    <x v="2"/>
    <n v="284.37"/>
    <n v="2"/>
    <n v="125.87"/>
    <x v="1"/>
  </r>
  <r>
    <s v="ORD0297"/>
    <x v="251"/>
    <x v="10"/>
    <x v="0"/>
    <x v="2"/>
    <x v="1"/>
    <x v="2"/>
    <n v="4491.2"/>
    <n v="6"/>
    <n v="540.91999999999996"/>
    <x v="0"/>
  </r>
  <r>
    <s v="ORD0298"/>
    <x v="252"/>
    <x v="9"/>
    <x v="0"/>
    <x v="5"/>
    <x v="1"/>
    <x v="3"/>
    <n v="2538.2800000000002"/>
    <n v="3"/>
    <n v="575.21"/>
    <x v="3"/>
  </r>
  <r>
    <s v="ORD0299"/>
    <x v="253"/>
    <x v="0"/>
    <x v="1"/>
    <x v="0"/>
    <x v="0"/>
    <x v="1"/>
    <n v="2620.85"/>
    <n v="9"/>
    <n v="194.91"/>
    <x v="0"/>
  </r>
  <r>
    <s v="ORD0300"/>
    <x v="254"/>
    <x v="8"/>
    <x v="1"/>
    <x v="2"/>
    <x v="1"/>
    <x v="1"/>
    <n v="400.67"/>
    <n v="1"/>
    <n v="301.5"/>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d v="2023-01-26T00:00:00"/>
    <s v="2023"/>
    <s v="January"/>
    <s v="Q1"/>
    <s v="Printer"/>
    <s v="Electronics"/>
    <x v="0"/>
    <n v="1219.5"/>
    <n v="5"/>
    <n v="211.02"/>
    <n v="1008.48"/>
  </r>
  <r>
    <s v="ORD0002"/>
    <d v="2024-08-27T00:00:00"/>
    <s v="2024"/>
    <s v="August"/>
    <s v="Q3"/>
    <s v="Laptop"/>
    <s v="Electronics"/>
    <x v="0"/>
    <n v="356.63"/>
    <n v="7"/>
    <n v="44.79"/>
    <n v="311.83999999999997"/>
  </r>
  <r>
    <s v="ORD0003"/>
    <d v="2024-07-28T00:00:00"/>
    <s v="2024"/>
    <s v="July"/>
    <s v="Q3"/>
    <s v="Mouse"/>
    <s v="Accessories"/>
    <x v="0"/>
    <n v="3194.55"/>
    <n v="4"/>
    <n v="578.5"/>
    <n v="2616.0500000000002"/>
  </r>
  <r>
    <s v="ORD0004"/>
    <d v="2024-04-04T00:00:00"/>
    <s v="2024"/>
    <s v="April"/>
    <s v="Q2"/>
    <s v="Monitor"/>
    <s v="Electronics"/>
    <x v="1"/>
    <n v="3430.95"/>
    <n v="10"/>
    <n v="236.99"/>
    <n v="3193.96"/>
  </r>
  <r>
    <s v="ORD0005"/>
    <d v="2023-12-15T00:00:00"/>
    <s v="2023"/>
    <s v="December"/>
    <s v="Q4"/>
    <s v="Mouse"/>
    <s v="Accessories"/>
    <x v="2"/>
    <n v="1047.44"/>
    <n v="5"/>
    <n v="141.27000000000001"/>
    <n v="906.17000000000007"/>
  </r>
  <r>
    <s v="ORD0006"/>
    <d v="2023-04-05T00:00:00"/>
    <s v="2023"/>
    <s v="April"/>
    <s v="Q2"/>
    <s v="Keyboard"/>
    <s v="Accessories"/>
    <x v="0"/>
    <n v="961.37"/>
    <n v="7"/>
    <n v="95.44"/>
    <n v="865.93000000000006"/>
  </r>
  <r>
    <s v="ORD0007"/>
    <d v="2023-02-14T00:00:00"/>
    <s v="2023"/>
    <s v="February"/>
    <s v="Q1"/>
    <s v="Headphones"/>
    <s v="Accessories"/>
    <x v="3"/>
    <n v="5221.42"/>
    <n v="8"/>
    <n v="438.26"/>
    <n v="4783.16"/>
  </r>
  <r>
    <s v="ORD0008"/>
    <d v="2024-07-19T00:00:00"/>
    <s v="2024"/>
    <s v="July"/>
    <s v="Q3"/>
    <s v="Monitor"/>
    <s v="Electronics"/>
    <x v="0"/>
    <n v="4493.2"/>
    <n v="5"/>
    <n v="666.94"/>
    <n v="3826.2599999999998"/>
  </r>
  <r>
    <s v="ORD0009"/>
    <d v="2024-12-22T00:00:00"/>
    <s v="2024"/>
    <s v="December"/>
    <s v="Q4"/>
    <s v="Keyboard"/>
    <s v="Accessories"/>
    <x v="1"/>
    <n v="132.79"/>
    <n v="2"/>
    <n v="55.74"/>
    <n v="77.049999999999983"/>
  </r>
  <r>
    <s v="ORD0010"/>
    <d v="2023-08-27T00:00:00"/>
    <s v="2023"/>
    <s v="August"/>
    <s v="Q3"/>
    <s v="Keyboard"/>
    <s v="Accessories"/>
    <x v="0"/>
    <n v="811.1"/>
    <n v="2"/>
    <n v="316.5"/>
    <n v="494.6"/>
  </r>
  <r>
    <s v="ORD0011"/>
    <d v="2024-01-15T00:00:00"/>
    <s v="2024"/>
    <s v="January"/>
    <s v="Q1"/>
    <s v="Keyboard"/>
    <s v="Accessories"/>
    <x v="1"/>
    <n v="1328.1"/>
    <n v="6"/>
    <n v="183.42"/>
    <n v="1144.6799999999998"/>
  </r>
  <r>
    <s v="ORD0012"/>
    <d v="2024-09-15T00:00:00"/>
    <s v="2024"/>
    <s v="September"/>
    <s v="Q3"/>
    <s v="Printer"/>
    <s v="Electronics"/>
    <x v="0"/>
    <n v="1569.15"/>
    <n v="3"/>
    <n v="436.63"/>
    <n v="1132.52"/>
  </r>
  <r>
    <s v="ORD0013"/>
    <d v="2023-10-04T00:00:00"/>
    <s v="2023"/>
    <s v="October"/>
    <s v="Q4"/>
    <s v="Monitor"/>
    <s v="Electronics"/>
    <x v="2"/>
    <n v="2117.1999999999998"/>
    <n v="9"/>
    <n v="191.3"/>
    <n v="1925.8999999999999"/>
  </r>
  <r>
    <s v="ORD0014"/>
    <d v="2023-02-02T00:00:00"/>
    <s v="2023"/>
    <s v="February"/>
    <s v="Q1"/>
    <s v="Laptop"/>
    <s v="Electronics"/>
    <x v="1"/>
    <n v="2250.09"/>
    <n v="6"/>
    <n v="332.91"/>
    <n v="1917.18"/>
  </r>
  <r>
    <s v="ORD0015"/>
    <d v="2023-08-06T00:00:00"/>
    <s v="2023"/>
    <s v="August"/>
    <s v="Q3"/>
    <s v="Headphones"/>
    <s v="Accessories"/>
    <x v="3"/>
    <n v="3853.23"/>
    <n v="8"/>
    <n v="328.59"/>
    <n v="3524.64"/>
  </r>
  <r>
    <s v="ORD0016"/>
    <d v="2023-09-29T00:00:00"/>
    <s v="2023"/>
    <s v="September"/>
    <s v="Q3"/>
    <s v="Monitor"/>
    <s v="Electronics"/>
    <x v="1"/>
    <n v="843.88"/>
    <n v="3"/>
    <n v="212.37"/>
    <n v="631.51"/>
  </r>
  <r>
    <s v="ORD0017"/>
    <d v="2024-08-20T00:00:00"/>
    <s v="2024"/>
    <s v="August"/>
    <s v="Q3"/>
    <s v="Keyboard"/>
    <s v="Accessories"/>
    <x v="2"/>
    <n v="3172.52"/>
    <n v="7"/>
    <n v="302.36"/>
    <n v="2870.16"/>
  </r>
  <r>
    <s v="ORD0018"/>
    <d v="2023-04-04T00:00:00"/>
    <s v="2023"/>
    <s v="April"/>
    <s v="Q2"/>
    <s v="Mouse"/>
    <s v="Accessories"/>
    <x v="2"/>
    <n v="803.11"/>
    <n v="1"/>
    <n v="691.66"/>
    <n v="111.45000000000005"/>
  </r>
  <r>
    <s v="ORD0019"/>
    <d v="2024-09-02T00:00:00"/>
    <s v="2024"/>
    <s v="September"/>
    <s v="Q3"/>
    <s v="Mouse"/>
    <s v="Accessories"/>
    <x v="2"/>
    <n v="856.87"/>
    <n v="2"/>
    <n v="320.12"/>
    <n v="536.75"/>
  </r>
  <r>
    <s v="ORD0020"/>
    <d v="2024-07-20T00:00:00"/>
    <s v="2024"/>
    <s v="July"/>
    <s v="Q3"/>
    <s v="Monitor"/>
    <s v="Electronics"/>
    <x v="3"/>
    <n v="630.91"/>
    <n v="1"/>
    <n v="550.62"/>
    <n v="80.289999999999964"/>
  </r>
  <r>
    <s v="ORD0021"/>
    <d v="2024-10-18T00:00:00"/>
    <s v="2024"/>
    <s v="October"/>
    <s v="Q4"/>
    <s v="Headphones"/>
    <s v="Accessories"/>
    <x v="3"/>
    <n v="817.92"/>
    <n v="6"/>
    <n v="107.01"/>
    <n v="710.91"/>
  </r>
  <r>
    <s v="ORD0022"/>
    <d v="2023-09-27T00:00:00"/>
    <s v="2023"/>
    <s v="September"/>
    <s v="Q3"/>
    <s v="Monitor"/>
    <s v="Electronics"/>
    <x v="0"/>
    <n v="7204.65"/>
    <n v="9"/>
    <n v="614.33000000000004"/>
    <n v="6590.32"/>
  </r>
  <r>
    <s v="ORD0023"/>
    <d v="2024-10-16T00:00:00"/>
    <s v="2024"/>
    <s v="October"/>
    <s v="Q4"/>
    <s v="Laptop"/>
    <s v="Electronics"/>
    <x v="3"/>
    <n v="5172.8599999999997"/>
    <n v="9"/>
    <n v="495"/>
    <n v="4677.8599999999997"/>
  </r>
  <r>
    <s v="ORD0024"/>
    <d v="2024-09-05T00:00:00"/>
    <s v="2024"/>
    <s v="September"/>
    <s v="Q3"/>
    <s v="Mouse"/>
    <s v="Accessories"/>
    <x v="0"/>
    <n v="2755.02"/>
    <n v="6"/>
    <n v="401.11"/>
    <n v="2353.91"/>
  </r>
  <r>
    <s v="ORD0025"/>
    <d v="2023-09-03T00:00:00"/>
    <s v="2023"/>
    <s v="September"/>
    <s v="Q3"/>
    <s v="Keyboard"/>
    <s v="Accessories"/>
    <x v="3"/>
    <n v="275.83999999999997"/>
    <n v="1"/>
    <n v="207.88"/>
    <n v="67.95999999999998"/>
  </r>
  <r>
    <s v="ORD0026"/>
    <d v="2024-05-12T00:00:00"/>
    <s v="2024"/>
    <s v="May"/>
    <s v="Q2"/>
    <s v="Laptop"/>
    <s v="Electronics"/>
    <x v="0"/>
    <n v="2055.84"/>
    <n v="2"/>
    <n v="782.83"/>
    <n v="1273.0100000000002"/>
  </r>
  <r>
    <s v="ORD0027"/>
    <d v="2024-11-06T00:00:00"/>
    <s v="2024"/>
    <s v="November"/>
    <s v="Q4"/>
    <s v="Mouse"/>
    <s v="Accessories"/>
    <x v="1"/>
    <n v="7075.97"/>
    <n v="8"/>
    <n v="758.54"/>
    <n v="6317.43"/>
  </r>
  <r>
    <s v="ORD0028"/>
    <d v="2023-08-05T00:00:00"/>
    <s v="2023"/>
    <s v="August"/>
    <s v="Q3"/>
    <s v="Headphones"/>
    <s v="Accessories"/>
    <x v="2"/>
    <n v="7542.93"/>
    <n v="9"/>
    <n v="609.11"/>
    <n v="6933.8200000000006"/>
  </r>
  <r>
    <s v="ORD0029"/>
    <d v="2024-02-13T00:00:00"/>
    <s v="2024"/>
    <s v="February"/>
    <s v="Q1"/>
    <s v="Printer"/>
    <s v="Electronics"/>
    <x v="3"/>
    <n v="2836.67"/>
    <n v="6"/>
    <n v="361.72"/>
    <n v="2474.9499999999998"/>
  </r>
  <r>
    <s v="ORD0030"/>
    <d v="2023-08-19T00:00:00"/>
    <s v="2023"/>
    <s v="August"/>
    <s v="Q3"/>
    <s v="Laptop"/>
    <s v="Electronics"/>
    <x v="1"/>
    <n v="757.69"/>
    <n v="2"/>
    <n v="283.70999999999998"/>
    <n v="473.98000000000008"/>
  </r>
  <r>
    <s v="ORD0031"/>
    <d v="2023-01-08T00:00:00"/>
    <s v="2023"/>
    <s v="January"/>
    <s v="Q1"/>
    <s v="Mouse"/>
    <s v="Accessories"/>
    <x v="1"/>
    <n v="1285.6099999999999"/>
    <n v="2"/>
    <n v="572.12"/>
    <n v="713.4899999999999"/>
  </r>
  <r>
    <s v="ORD0032"/>
    <d v="2023-12-05T00:00:00"/>
    <s v="2023"/>
    <s v="December"/>
    <s v="Q4"/>
    <s v="Laptop"/>
    <s v="Electronics"/>
    <x v="0"/>
    <n v="1020.09"/>
    <n v="2"/>
    <n v="421.04"/>
    <n v="599.04999999999995"/>
  </r>
  <r>
    <s v="ORD0033"/>
    <d v="2024-07-06T00:00:00"/>
    <s v="2024"/>
    <s v="July"/>
    <s v="Q3"/>
    <s v="Monitor"/>
    <s v="Electronics"/>
    <x v="1"/>
    <n v="2546.5300000000002"/>
    <n v="3"/>
    <n v="584.22"/>
    <n v="1962.3100000000002"/>
  </r>
  <r>
    <s v="ORD0034"/>
    <d v="2023-09-06T00:00:00"/>
    <s v="2023"/>
    <s v="September"/>
    <s v="Q3"/>
    <s v="Headphones"/>
    <s v="Accessories"/>
    <x v="2"/>
    <n v="6114.64"/>
    <n v="8"/>
    <n v="649.85"/>
    <n v="5464.79"/>
  </r>
  <r>
    <s v="ORD0035"/>
    <d v="2023-12-29T00:00:00"/>
    <s v="2023"/>
    <s v="December"/>
    <s v="Q4"/>
    <s v="Laptop"/>
    <s v="Electronics"/>
    <x v="2"/>
    <n v="3447.05"/>
    <n v="7"/>
    <n v="340.66"/>
    <n v="3106.3900000000003"/>
  </r>
  <r>
    <s v="ORD0036"/>
    <d v="2023-03-04T00:00:00"/>
    <s v="2023"/>
    <s v="March"/>
    <s v="Q1"/>
    <s v="Laptop"/>
    <s v="Electronics"/>
    <x v="0"/>
    <n v="5845.79"/>
    <n v="7"/>
    <n v="588.01"/>
    <n v="5257.78"/>
  </r>
  <r>
    <s v="ORD0037"/>
    <d v="2023-07-16T00:00:00"/>
    <s v="2023"/>
    <s v="July"/>
    <s v="Q3"/>
    <s v="Laptop"/>
    <s v="Electronics"/>
    <x v="1"/>
    <n v="2026.83"/>
    <n v="4"/>
    <n v="438.3"/>
    <n v="1588.53"/>
  </r>
  <r>
    <s v="ORD0038"/>
    <d v="2024-04-18T00:00:00"/>
    <s v="2024"/>
    <s v="April"/>
    <s v="Q2"/>
    <s v="Mouse"/>
    <s v="Accessories"/>
    <x v="3"/>
    <n v="3173.92"/>
    <n v="4"/>
    <n v="702.1"/>
    <n v="2471.8200000000002"/>
  </r>
  <r>
    <s v="ORD0039"/>
    <d v="2023-02-21T00:00:00"/>
    <s v="2023"/>
    <s v="February"/>
    <s v="Q1"/>
    <s v="Headphones"/>
    <s v="Accessories"/>
    <x v="0"/>
    <n v="8998.33"/>
    <n v="9"/>
    <n v="672.1"/>
    <n v="8326.23"/>
  </r>
  <r>
    <s v="ORD0040"/>
    <d v="2024-02-21T00:00:00"/>
    <s v="2024"/>
    <s v="February"/>
    <s v="Q1"/>
    <s v="Mouse"/>
    <s v="Accessories"/>
    <x v="1"/>
    <n v="4574.24"/>
    <n v="8"/>
    <n v="395.46"/>
    <n v="4178.78"/>
  </r>
  <r>
    <s v="ORD0041"/>
    <d v="2024-01-24T00:00:00"/>
    <s v="2024"/>
    <s v="January"/>
    <s v="Q1"/>
    <s v="Laptop"/>
    <s v="Electronics"/>
    <x v="1"/>
    <n v="951.04"/>
    <n v="1"/>
    <n v="788.54"/>
    <n v="162.5"/>
  </r>
  <r>
    <s v="ORD0042"/>
    <d v="2024-03-09T00:00:00"/>
    <s v="2024"/>
    <s v="March"/>
    <s v="Q1"/>
    <s v="Monitor"/>
    <s v="Electronics"/>
    <x v="3"/>
    <n v="6248.51"/>
    <n v="9"/>
    <n v="536.26"/>
    <n v="5712.25"/>
  </r>
  <r>
    <s v="ORD0043"/>
    <d v="2023-08-11T00:00:00"/>
    <s v="2023"/>
    <s v="August"/>
    <s v="Q3"/>
    <s v="Mouse"/>
    <s v="Accessories"/>
    <x v="3"/>
    <n v="621.25"/>
    <n v="1"/>
    <n v="471.76"/>
    <n v="149.49"/>
  </r>
  <r>
    <s v="ORD0044"/>
    <d v="2023-02-28T00:00:00"/>
    <s v="2023"/>
    <s v="February"/>
    <s v="Q1"/>
    <s v="Printer"/>
    <s v="Electronics"/>
    <x v="3"/>
    <n v="618.9"/>
    <n v="1"/>
    <n v="475.66"/>
    <n v="143.23999999999995"/>
  </r>
  <r>
    <s v="ORD0045"/>
    <d v="2023-02-28T00:00:00"/>
    <s v="2023"/>
    <s v="February"/>
    <s v="Q1"/>
    <s v="Headphones"/>
    <s v="Accessories"/>
    <x v="1"/>
    <n v="871.83"/>
    <n v="9"/>
    <n v="82.49"/>
    <n v="789.34"/>
  </r>
  <r>
    <s v="ORD0046"/>
    <d v="2024-11-22T00:00:00"/>
    <s v="2024"/>
    <s v="November"/>
    <s v="Q4"/>
    <s v="Headphones"/>
    <s v="Accessories"/>
    <x v="0"/>
    <n v="1978.34"/>
    <n v="4"/>
    <n v="334.94"/>
    <n v="1643.3999999999999"/>
  </r>
  <r>
    <s v="ORD0047"/>
    <d v="2024-08-15T00:00:00"/>
    <s v="2024"/>
    <s v="August"/>
    <s v="Q3"/>
    <s v="Headphones"/>
    <s v="Accessories"/>
    <x v="1"/>
    <n v="577.72"/>
    <n v="10"/>
    <n v="51"/>
    <n v="526.72"/>
  </r>
  <r>
    <s v="ORD0048"/>
    <d v="2023-09-25T00:00:00"/>
    <s v="2023"/>
    <s v="September"/>
    <s v="Q3"/>
    <s v="Printer"/>
    <s v="Electronics"/>
    <x v="3"/>
    <n v="2659.17"/>
    <n v="4"/>
    <n v="542.39"/>
    <n v="2116.7800000000002"/>
  </r>
  <r>
    <s v="ORD0049"/>
    <d v="2023-05-15T00:00:00"/>
    <s v="2023"/>
    <s v="May"/>
    <s v="Q2"/>
    <s v="Keyboard"/>
    <s v="Accessories"/>
    <x v="2"/>
    <n v="2771.33"/>
    <n v="5"/>
    <n v="376.64"/>
    <n v="2394.69"/>
  </r>
  <r>
    <s v="ORD0050"/>
    <d v="2024-04-14T00:00:00"/>
    <s v="2024"/>
    <s v="April"/>
    <s v="Q2"/>
    <s v="Laptop"/>
    <s v="Electronics"/>
    <x v="0"/>
    <n v="11969.38"/>
    <n v="10"/>
    <n v="798.79"/>
    <n v="11170.59"/>
  </r>
  <r>
    <s v="ORD0051"/>
    <d v="2024-06-02T00:00:00"/>
    <s v="2024"/>
    <s v="June"/>
    <s v="Q2"/>
    <s v="Laptop"/>
    <s v="Electronics"/>
    <x v="1"/>
    <n v="764.34"/>
    <n v="5"/>
    <n v="123.32"/>
    <n v="641.02"/>
  </r>
  <r>
    <s v="ORD0052"/>
    <d v="2024-01-14T00:00:00"/>
    <s v="2024"/>
    <s v="January"/>
    <s v="Q1"/>
    <s v="Laptop"/>
    <s v="Electronics"/>
    <x v="1"/>
    <n v="1025.24"/>
    <n v="5"/>
    <n v="143.04"/>
    <n v="882.2"/>
  </r>
  <r>
    <s v="ORD0053"/>
    <d v="2024-09-18T00:00:00"/>
    <s v="2024"/>
    <s v="September"/>
    <s v="Q3"/>
    <s v="Printer"/>
    <s v="Electronics"/>
    <x v="3"/>
    <n v="335.17"/>
    <n v="9"/>
    <n v="26.1"/>
    <n v="309.07"/>
  </r>
  <r>
    <s v="ORD0054"/>
    <d v="2023-05-18T00:00:00"/>
    <s v="2023"/>
    <s v="May"/>
    <s v="Q2"/>
    <s v="Keyboard"/>
    <s v="Accessories"/>
    <x v="0"/>
    <n v="628.72"/>
    <n v="5"/>
    <n v="110.03"/>
    <n v="518.69000000000005"/>
  </r>
  <r>
    <s v="ORD0055"/>
    <d v="2023-10-06T00:00:00"/>
    <s v="2023"/>
    <s v="October"/>
    <s v="Q4"/>
    <s v="Headphones"/>
    <s v="Accessories"/>
    <x v="1"/>
    <n v="3410.54"/>
    <n v="5"/>
    <n v="491.77"/>
    <n v="2918.77"/>
  </r>
  <r>
    <s v="ORD0056"/>
    <d v="2024-06-01T00:00:00"/>
    <s v="2024"/>
    <s v="June"/>
    <s v="Q2"/>
    <s v="Mouse"/>
    <s v="Accessories"/>
    <x v="3"/>
    <n v="2527"/>
    <n v="8"/>
    <n v="215.87"/>
    <n v="2311.13"/>
  </r>
  <r>
    <s v="ORD0057"/>
    <d v="2024-10-11T00:00:00"/>
    <s v="2024"/>
    <s v="October"/>
    <s v="Q4"/>
    <s v="Laptop"/>
    <s v="Electronics"/>
    <x v="0"/>
    <n v="5217.38"/>
    <n v="7"/>
    <n v="666.89"/>
    <n v="4550.49"/>
  </r>
  <r>
    <s v="ORD0058"/>
    <d v="2024-10-14T00:00:00"/>
    <s v="2024"/>
    <s v="October"/>
    <s v="Q4"/>
    <s v="Keyboard"/>
    <s v="Accessories"/>
    <x v="1"/>
    <n v="932.21"/>
    <n v="5"/>
    <n v="146.03"/>
    <n v="786.18000000000006"/>
  </r>
  <r>
    <s v="ORD0059"/>
    <d v="2024-07-28T00:00:00"/>
    <s v="2024"/>
    <s v="July"/>
    <s v="Q3"/>
    <s v="Printer"/>
    <s v="Electronics"/>
    <x v="2"/>
    <n v="158.53"/>
    <n v="1"/>
    <n v="107.26"/>
    <n v="51.269999999999996"/>
  </r>
  <r>
    <s v="ORD0060"/>
    <d v="2024-07-12T00:00:00"/>
    <s v="2024"/>
    <s v="July"/>
    <s v="Q3"/>
    <s v="Printer"/>
    <s v="Electronics"/>
    <x v="1"/>
    <n v="894.42"/>
    <n v="1"/>
    <n v="670.98"/>
    <n v="223.43999999999994"/>
  </r>
  <r>
    <s v="ORD0061"/>
    <d v="2023-05-11T00:00:00"/>
    <s v="2023"/>
    <s v="May"/>
    <s v="Q2"/>
    <s v="Mouse"/>
    <s v="Accessories"/>
    <x v="2"/>
    <n v="380.14"/>
    <n v="1"/>
    <n v="260.44"/>
    <n v="119.69999999999999"/>
  </r>
  <r>
    <s v="ORD0062"/>
    <d v="2023-08-04T00:00:00"/>
    <s v="2023"/>
    <s v="August"/>
    <s v="Q3"/>
    <s v="Laptop"/>
    <s v="Electronics"/>
    <x v="3"/>
    <n v="2682.62"/>
    <n v="4"/>
    <n v="540.21"/>
    <n v="2142.41"/>
  </r>
  <r>
    <s v="ORD0063"/>
    <d v="2024-09-27T00:00:00"/>
    <s v="2024"/>
    <s v="September"/>
    <s v="Q3"/>
    <s v="Headphones"/>
    <s v="Accessories"/>
    <x v="2"/>
    <n v="2659.75"/>
    <n v="3"/>
    <n v="742.1"/>
    <n v="1917.65"/>
  </r>
  <r>
    <s v="ORD0064"/>
    <d v="2024-02-27T00:00:00"/>
    <s v="2024"/>
    <s v="February"/>
    <s v="Q1"/>
    <s v="Mouse"/>
    <s v="Accessories"/>
    <x v="1"/>
    <n v="235.02"/>
    <n v="1"/>
    <n v="159.9"/>
    <n v="75.12"/>
  </r>
  <r>
    <s v="ORD0065"/>
    <d v="2023-10-01T00:00:00"/>
    <s v="2023"/>
    <s v="October"/>
    <s v="Q4"/>
    <s v="Monitor"/>
    <s v="Electronics"/>
    <x v="1"/>
    <n v="2174.9499999999998"/>
    <n v="3"/>
    <n v="634.15"/>
    <n v="1540.7999999999997"/>
  </r>
  <r>
    <s v="ORD0066"/>
    <d v="2023-08-16T00:00:00"/>
    <s v="2023"/>
    <s v="August"/>
    <s v="Q3"/>
    <s v="Laptop"/>
    <s v="Electronics"/>
    <x v="2"/>
    <n v="3374.36"/>
    <n v="4"/>
    <n v="656.94"/>
    <n v="2717.42"/>
  </r>
  <r>
    <s v="ORD0067"/>
    <d v="2023-08-17T00:00:00"/>
    <s v="2023"/>
    <s v="August"/>
    <s v="Q3"/>
    <s v="Keyboard"/>
    <s v="Accessories"/>
    <x v="1"/>
    <n v="673.56"/>
    <n v="1"/>
    <n v="534.83000000000004"/>
    <n v="138.7299999999999"/>
  </r>
  <r>
    <s v="ORD0068"/>
    <d v="2023-10-13T00:00:00"/>
    <s v="2023"/>
    <s v="October"/>
    <s v="Q4"/>
    <s v="Keyboard"/>
    <s v="Accessories"/>
    <x v="0"/>
    <n v="3933.52"/>
    <n v="6"/>
    <n v="520.36"/>
    <n v="3413.16"/>
  </r>
  <r>
    <s v="ORD0069"/>
    <d v="2023-01-29T00:00:00"/>
    <s v="2023"/>
    <s v="January"/>
    <s v="Q1"/>
    <s v="Headphones"/>
    <s v="Accessories"/>
    <x v="3"/>
    <n v="1696.13"/>
    <n v="2"/>
    <n v="704.09"/>
    <n v="992.04000000000008"/>
  </r>
  <r>
    <s v="ORD0070"/>
    <d v="2023-02-09T00:00:00"/>
    <s v="2023"/>
    <s v="February"/>
    <s v="Q1"/>
    <s v="Headphones"/>
    <s v="Accessories"/>
    <x v="3"/>
    <n v="1201.94"/>
    <n v="2"/>
    <n v="485.33"/>
    <n v="716.61000000000013"/>
  </r>
  <r>
    <s v="ORD0071"/>
    <d v="2024-09-12T00:00:00"/>
    <s v="2024"/>
    <s v="September"/>
    <s v="Q3"/>
    <s v="Keyboard"/>
    <s v="Accessories"/>
    <x v="2"/>
    <n v="1447.83"/>
    <n v="9"/>
    <n v="110.2"/>
    <n v="1337.6299999999999"/>
  </r>
  <r>
    <s v="ORD0072"/>
    <d v="2023-02-15T00:00:00"/>
    <s v="2023"/>
    <s v="February"/>
    <s v="Q1"/>
    <s v="Mouse"/>
    <s v="Accessories"/>
    <x v="3"/>
    <n v="219.42"/>
    <n v="7"/>
    <n v="21.32"/>
    <n v="198.1"/>
  </r>
  <r>
    <s v="ORD0073"/>
    <d v="2024-01-08T00:00:00"/>
    <s v="2024"/>
    <s v="January"/>
    <s v="Q1"/>
    <s v="Headphones"/>
    <s v="Accessories"/>
    <x v="1"/>
    <n v="712.97"/>
    <n v="7"/>
    <n v="74.58"/>
    <n v="638.39"/>
  </r>
  <r>
    <s v="ORD0074"/>
    <d v="2024-11-10T00:00:00"/>
    <s v="2024"/>
    <s v="November"/>
    <s v="Q4"/>
    <s v="Keyboard"/>
    <s v="Accessories"/>
    <x v="3"/>
    <n v="1418.79"/>
    <n v="2"/>
    <n v="581.41"/>
    <n v="837.38"/>
  </r>
  <r>
    <s v="ORD0075"/>
    <d v="2023-12-01T00:00:00"/>
    <s v="2023"/>
    <s v="December"/>
    <s v="Q4"/>
    <s v="Keyboard"/>
    <s v="Accessories"/>
    <x v="2"/>
    <n v="5216.66"/>
    <n v="7"/>
    <n v="563.82000000000005"/>
    <n v="4652.84"/>
  </r>
  <r>
    <s v="ORD0076"/>
    <d v="2024-11-11T00:00:00"/>
    <s v="2024"/>
    <s v="November"/>
    <s v="Q4"/>
    <s v="Mouse"/>
    <s v="Accessories"/>
    <x v="2"/>
    <n v="5608.04"/>
    <n v="7"/>
    <n v="548.30999999999995"/>
    <n v="5059.7299999999996"/>
  </r>
  <r>
    <s v="ORD0077"/>
    <d v="2024-02-20T00:00:00"/>
    <s v="2024"/>
    <s v="February"/>
    <s v="Q1"/>
    <s v="Headphones"/>
    <s v="Accessories"/>
    <x v="3"/>
    <n v="7369.35"/>
    <n v="9"/>
    <n v="670.31"/>
    <n v="6699.0400000000009"/>
  </r>
  <r>
    <s v="ORD0078"/>
    <d v="2024-08-16T00:00:00"/>
    <s v="2024"/>
    <s v="August"/>
    <s v="Q3"/>
    <s v="Mouse"/>
    <s v="Accessories"/>
    <x v="2"/>
    <n v="6824.39"/>
    <n v="10"/>
    <n v="530.66999999999996"/>
    <n v="6293.72"/>
  </r>
  <r>
    <s v="ORD0079"/>
    <d v="2024-06-07T00:00:00"/>
    <s v="2024"/>
    <s v="June"/>
    <s v="Q2"/>
    <s v="Monitor"/>
    <s v="Electronics"/>
    <x v="1"/>
    <n v="7587.17"/>
    <n v="8"/>
    <n v="639.11"/>
    <n v="6948.06"/>
  </r>
  <r>
    <s v="ORD0080"/>
    <d v="2024-11-05T00:00:00"/>
    <s v="2024"/>
    <s v="November"/>
    <s v="Q4"/>
    <s v="Printer"/>
    <s v="Electronics"/>
    <x v="1"/>
    <n v="659.15"/>
    <n v="2"/>
    <n v="241.35"/>
    <n v="417.79999999999995"/>
  </r>
  <r>
    <s v="ORD0081"/>
    <d v="2023-04-06T00:00:00"/>
    <s v="2023"/>
    <s v="April"/>
    <s v="Q2"/>
    <s v="Headphones"/>
    <s v="Accessories"/>
    <x v="3"/>
    <n v="2592.84"/>
    <n v="4"/>
    <n v="544.78"/>
    <n v="2048.0600000000004"/>
  </r>
  <r>
    <s v="ORD0082"/>
    <d v="2023-01-26T00:00:00"/>
    <s v="2023"/>
    <s v="January"/>
    <s v="Q1"/>
    <s v="Mouse"/>
    <s v="Accessories"/>
    <x v="1"/>
    <n v="272.18"/>
    <n v="1"/>
    <n v="210.98"/>
    <n v="61.200000000000017"/>
  </r>
  <r>
    <s v="ORD0083"/>
    <d v="2024-02-29T00:00:00"/>
    <s v="2024"/>
    <s v="February"/>
    <s v="Q1"/>
    <s v="Laptop"/>
    <s v="Electronics"/>
    <x v="2"/>
    <n v="2366.4"/>
    <n v="10"/>
    <n v="171.66"/>
    <n v="2194.7400000000002"/>
  </r>
  <r>
    <s v="ORD0084"/>
    <d v="2023-09-07T00:00:00"/>
    <s v="2023"/>
    <s v="September"/>
    <s v="Q3"/>
    <s v="Monitor"/>
    <s v="Electronics"/>
    <x v="2"/>
    <n v="1758.25"/>
    <n v="3"/>
    <n v="531.73"/>
    <n v="1226.52"/>
  </r>
  <r>
    <s v="ORD0085"/>
    <d v="2023-08-13T00:00:00"/>
    <s v="2023"/>
    <s v="August"/>
    <s v="Q3"/>
    <s v="Laptop"/>
    <s v="Electronics"/>
    <x v="2"/>
    <n v="2676.27"/>
    <n v="3"/>
    <n v="647.21"/>
    <n v="2029.06"/>
  </r>
  <r>
    <s v="ORD0086"/>
    <d v="2024-07-24T00:00:00"/>
    <s v="2024"/>
    <s v="July"/>
    <s v="Q3"/>
    <s v="Monitor"/>
    <s v="Electronics"/>
    <x v="0"/>
    <n v="3379.61"/>
    <n v="4"/>
    <n v="735.63"/>
    <n v="2643.98"/>
  </r>
  <r>
    <s v="ORD0087"/>
    <d v="2024-11-14T00:00:00"/>
    <s v="2024"/>
    <s v="November"/>
    <s v="Q4"/>
    <s v="Mouse"/>
    <s v="Accessories"/>
    <x v="2"/>
    <n v="9521.2099999999991"/>
    <n v="9"/>
    <n v="790.56"/>
    <n v="8730.65"/>
  </r>
  <r>
    <s v="ORD0088"/>
    <d v="2024-07-15T00:00:00"/>
    <s v="2024"/>
    <s v="July"/>
    <s v="Q3"/>
    <s v="Monitor"/>
    <s v="Electronics"/>
    <x v="2"/>
    <n v="8047.37"/>
    <n v="8"/>
    <n v="719.82"/>
    <n v="7327.55"/>
  </r>
  <r>
    <s v="ORD0089"/>
    <d v="2023-09-23T00:00:00"/>
    <s v="2023"/>
    <s v="September"/>
    <s v="Q3"/>
    <s v="Monitor"/>
    <s v="Electronics"/>
    <x v="2"/>
    <n v="3269.93"/>
    <n v="4"/>
    <n v="675.09"/>
    <n v="2594.8399999999997"/>
  </r>
  <r>
    <s v="ORD0090"/>
    <d v="2024-10-03T00:00:00"/>
    <s v="2024"/>
    <s v="October"/>
    <s v="Q4"/>
    <s v="Headphones"/>
    <s v="Accessories"/>
    <x v="2"/>
    <n v="1059.47"/>
    <n v="4"/>
    <n v="234.19"/>
    <n v="825.28"/>
  </r>
  <r>
    <s v="ORD0091"/>
    <d v="2023-10-06T00:00:00"/>
    <s v="2023"/>
    <s v="October"/>
    <s v="Q4"/>
    <s v="Keyboard"/>
    <s v="Accessories"/>
    <x v="1"/>
    <n v="2127.04"/>
    <n v="6"/>
    <n v="269.37"/>
    <n v="1857.67"/>
  </r>
  <r>
    <s v="ORD0092"/>
    <d v="2023-08-25T00:00:00"/>
    <s v="2023"/>
    <s v="August"/>
    <s v="Q3"/>
    <s v="Mouse"/>
    <s v="Accessories"/>
    <x v="1"/>
    <n v="5432.05"/>
    <n v="7"/>
    <n v="561.28"/>
    <n v="4870.7700000000004"/>
  </r>
  <r>
    <s v="ORD0093"/>
    <d v="2024-02-22T00:00:00"/>
    <s v="2024"/>
    <s v="February"/>
    <s v="Q1"/>
    <s v="Laptop"/>
    <s v="Electronics"/>
    <x v="2"/>
    <n v="3367.67"/>
    <n v="6"/>
    <n v="443.24"/>
    <n v="2924.4300000000003"/>
  </r>
  <r>
    <s v="ORD0094"/>
    <d v="2024-02-03T00:00:00"/>
    <s v="2024"/>
    <s v="February"/>
    <s v="Q1"/>
    <s v="Mouse"/>
    <s v="Accessories"/>
    <x v="2"/>
    <n v="8396.4500000000007"/>
    <n v="10"/>
    <n v="757.93"/>
    <n v="7638.52"/>
  </r>
  <r>
    <s v="ORD0095"/>
    <d v="2024-05-03T00:00:00"/>
    <s v="2024"/>
    <s v="May"/>
    <s v="Q2"/>
    <s v="Headphones"/>
    <s v="Accessories"/>
    <x v="2"/>
    <n v="921.1"/>
    <n v="1"/>
    <n v="755.34"/>
    <n v="165.76"/>
  </r>
  <r>
    <s v="ORD0096"/>
    <d v="2024-07-05T00:00:00"/>
    <s v="2024"/>
    <s v="July"/>
    <s v="Q3"/>
    <s v="Monitor"/>
    <s v="Electronics"/>
    <x v="2"/>
    <n v="8455.77"/>
    <n v="9"/>
    <n v="643.9"/>
    <n v="7811.8700000000008"/>
  </r>
  <r>
    <s v="ORD0097"/>
    <d v="2023-10-07T00:00:00"/>
    <s v="2023"/>
    <s v="October"/>
    <s v="Q4"/>
    <s v="Monitor"/>
    <s v="Electronics"/>
    <x v="1"/>
    <n v="3504.97"/>
    <n v="7"/>
    <n v="398.8"/>
    <n v="3106.1699999999996"/>
  </r>
  <r>
    <s v="ORD0098"/>
    <d v="2023-06-19T00:00:00"/>
    <s v="2023"/>
    <s v="June"/>
    <s v="Q2"/>
    <s v="Printer"/>
    <s v="Electronics"/>
    <x v="2"/>
    <n v="8801.4"/>
    <n v="8"/>
    <n v="737.24"/>
    <n v="8064.16"/>
  </r>
  <r>
    <s v="ORD0099"/>
    <d v="2024-02-08T00:00:00"/>
    <s v="2024"/>
    <s v="February"/>
    <s v="Q1"/>
    <s v="Headphones"/>
    <s v="Accessories"/>
    <x v="0"/>
    <n v="5112.42"/>
    <n v="10"/>
    <n v="460.23"/>
    <n v="4652.1900000000005"/>
  </r>
  <r>
    <s v="ORD0100"/>
    <d v="2023-05-19T00:00:00"/>
    <s v="2023"/>
    <s v="May"/>
    <s v="Q2"/>
    <s v="Printer"/>
    <s v="Electronics"/>
    <x v="2"/>
    <n v="1558.06"/>
    <n v="8"/>
    <n v="161.75"/>
    <n v="1396.31"/>
  </r>
  <r>
    <s v="ORD0101"/>
    <d v="2024-04-10T00:00:00"/>
    <s v="2024"/>
    <s v="April"/>
    <s v="Q2"/>
    <s v="Keyboard"/>
    <s v="Accessories"/>
    <x v="1"/>
    <n v="2467.4299999999998"/>
    <n v="6"/>
    <n v="283.25"/>
    <n v="2184.1799999999998"/>
  </r>
  <r>
    <s v="ORD0102"/>
    <d v="2023-09-16T00:00:00"/>
    <s v="2023"/>
    <s v="September"/>
    <s v="Q3"/>
    <s v="Keyboard"/>
    <s v="Accessories"/>
    <x v="2"/>
    <n v="1082.8499999999999"/>
    <n v="2"/>
    <n v="386.84"/>
    <n v="696.01"/>
  </r>
  <r>
    <s v="ORD0103"/>
    <d v="2023-08-18T00:00:00"/>
    <s v="2023"/>
    <s v="August"/>
    <s v="Q3"/>
    <s v="Laptop"/>
    <s v="Electronics"/>
    <x v="3"/>
    <n v="1712.74"/>
    <n v="2"/>
    <n v="629.36"/>
    <n v="1083.3800000000001"/>
  </r>
  <r>
    <s v="ORD0104"/>
    <d v="2023-07-24T00:00:00"/>
    <s v="2023"/>
    <s v="July"/>
    <s v="Q3"/>
    <s v="Laptop"/>
    <s v="Electronics"/>
    <x v="1"/>
    <n v="603.26"/>
    <n v="1"/>
    <n v="504.64"/>
    <n v="98.62"/>
  </r>
  <r>
    <s v="ORD0105"/>
    <d v="2024-07-31T00:00:00"/>
    <s v="2024"/>
    <s v="July"/>
    <s v="Q3"/>
    <s v="Monitor"/>
    <s v="Electronics"/>
    <x v="0"/>
    <n v="1840.93"/>
    <n v="4"/>
    <n v="382.73"/>
    <n v="1458.2"/>
  </r>
  <r>
    <s v="ORD0106"/>
    <d v="2024-09-12T00:00:00"/>
    <s v="2024"/>
    <s v="September"/>
    <s v="Q3"/>
    <s v="Keyboard"/>
    <s v="Accessories"/>
    <x v="1"/>
    <n v="10706.26"/>
    <n v="10"/>
    <n v="771.71"/>
    <n v="9934.5499999999993"/>
  </r>
  <r>
    <s v="ORD0107"/>
    <d v="2023-04-21T00:00:00"/>
    <s v="2023"/>
    <s v="April"/>
    <s v="Q2"/>
    <s v="Mouse"/>
    <s v="Accessories"/>
    <x v="3"/>
    <n v="490.28"/>
    <n v="10"/>
    <n v="40.03"/>
    <n v="450.25"/>
  </r>
  <r>
    <s v="ORD0108"/>
    <d v="2024-02-11T00:00:00"/>
    <s v="2024"/>
    <s v="February"/>
    <s v="Q1"/>
    <s v="Printer"/>
    <s v="Electronics"/>
    <x v="2"/>
    <n v="436.44"/>
    <n v="4"/>
    <n v="79.28"/>
    <n v="357.15999999999997"/>
  </r>
  <r>
    <s v="ORD0109"/>
    <d v="2023-04-15T00:00:00"/>
    <s v="2023"/>
    <s v="April"/>
    <s v="Q2"/>
    <s v="Printer"/>
    <s v="Electronics"/>
    <x v="1"/>
    <n v="4578.2"/>
    <n v="5"/>
    <n v="683.23"/>
    <n v="3894.97"/>
  </r>
  <r>
    <s v="ORD0110"/>
    <d v="2023-12-22T00:00:00"/>
    <s v="2023"/>
    <s v="December"/>
    <s v="Q4"/>
    <s v="Laptop"/>
    <s v="Electronics"/>
    <x v="0"/>
    <n v="3978.32"/>
    <n v="9"/>
    <n v="354.13"/>
    <n v="3624.19"/>
  </r>
  <r>
    <s v="ORD0111"/>
    <d v="2023-01-13T00:00:00"/>
    <s v="2023"/>
    <s v="January"/>
    <s v="Q1"/>
    <s v="Headphones"/>
    <s v="Accessories"/>
    <x v="3"/>
    <n v="5288.39"/>
    <n v="7"/>
    <n v="661.42"/>
    <n v="4626.97"/>
  </r>
  <r>
    <s v="ORD0112"/>
    <d v="2024-12-25T00:00:00"/>
    <s v="2024"/>
    <s v="December"/>
    <s v="Q4"/>
    <s v="Keyboard"/>
    <s v="Accessories"/>
    <x v="2"/>
    <n v="1503.66"/>
    <n v="3"/>
    <n v="359.68"/>
    <n v="1143.98"/>
  </r>
  <r>
    <s v="ORD0113"/>
    <d v="2024-09-22T00:00:00"/>
    <s v="2024"/>
    <s v="September"/>
    <s v="Q3"/>
    <s v="Printer"/>
    <s v="Electronics"/>
    <x v="3"/>
    <n v="7224.44"/>
    <n v="9"/>
    <n v="624.22"/>
    <n v="6600.2199999999993"/>
  </r>
  <r>
    <s v="ORD0114"/>
    <d v="2023-11-27T00:00:00"/>
    <s v="2023"/>
    <s v="November"/>
    <s v="Q4"/>
    <s v="Printer"/>
    <s v="Electronics"/>
    <x v="3"/>
    <n v="3031.69"/>
    <n v="4"/>
    <n v="667.97"/>
    <n v="2363.7200000000003"/>
  </r>
  <r>
    <s v="ORD0115"/>
    <d v="2024-04-20T00:00:00"/>
    <s v="2024"/>
    <s v="April"/>
    <s v="Q2"/>
    <s v="Monitor"/>
    <s v="Electronics"/>
    <x v="1"/>
    <n v="6208.67"/>
    <n v="10"/>
    <n v="496.06"/>
    <n v="5712.61"/>
  </r>
  <r>
    <s v="ORD0116"/>
    <d v="2023-11-29T00:00:00"/>
    <s v="2023"/>
    <s v="November"/>
    <s v="Q4"/>
    <s v="Laptop"/>
    <s v="Electronics"/>
    <x v="2"/>
    <n v="1491.4"/>
    <n v="3"/>
    <n v="400.29"/>
    <n v="1091.1100000000001"/>
  </r>
  <r>
    <s v="ORD0117"/>
    <d v="2023-10-14T00:00:00"/>
    <s v="2023"/>
    <s v="October"/>
    <s v="Q4"/>
    <s v="Keyboard"/>
    <s v="Accessories"/>
    <x v="3"/>
    <n v="6862.61"/>
    <n v="10"/>
    <n v="566.91999999999996"/>
    <n v="6295.69"/>
  </r>
  <r>
    <s v="ORD0118"/>
    <d v="2023-03-29T00:00:00"/>
    <s v="2023"/>
    <s v="March"/>
    <s v="Q1"/>
    <s v="Laptop"/>
    <s v="Electronics"/>
    <x v="1"/>
    <n v="3014"/>
    <n v="4"/>
    <n v="581.66"/>
    <n v="2432.34"/>
  </r>
  <r>
    <s v="ORD0119"/>
    <d v="2024-10-23T00:00:00"/>
    <s v="2024"/>
    <s v="October"/>
    <s v="Q4"/>
    <s v="Mouse"/>
    <s v="Accessories"/>
    <x v="2"/>
    <n v="3272.7"/>
    <n v="8"/>
    <n v="369.58"/>
    <n v="2903.12"/>
  </r>
  <r>
    <s v="ORD0120"/>
    <d v="2024-02-19T00:00:00"/>
    <s v="2024"/>
    <s v="February"/>
    <s v="Q1"/>
    <s v="Keyboard"/>
    <s v="Accessories"/>
    <x v="1"/>
    <n v="1379.74"/>
    <n v="4"/>
    <n v="258.83999999999997"/>
    <n v="1120.9000000000001"/>
  </r>
  <r>
    <s v="ORD0121"/>
    <d v="2024-03-11T00:00:00"/>
    <s v="2024"/>
    <s v="March"/>
    <s v="Q1"/>
    <s v="Monitor"/>
    <s v="Electronics"/>
    <x v="3"/>
    <n v="3455.87"/>
    <n v="9"/>
    <n v="278.02"/>
    <n v="3177.85"/>
  </r>
  <r>
    <s v="ORD0122"/>
    <d v="2023-09-15T00:00:00"/>
    <s v="2023"/>
    <s v="September"/>
    <s v="Q3"/>
    <s v="Keyboard"/>
    <s v="Accessories"/>
    <x v="3"/>
    <n v="537.25"/>
    <n v="4"/>
    <n v="114.11"/>
    <n v="423.14"/>
  </r>
  <r>
    <s v="ORD0123"/>
    <d v="2023-07-16T00:00:00"/>
    <s v="2023"/>
    <s v="July"/>
    <s v="Q3"/>
    <s v="Laptop"/>
    <s v="Electronics"/>
    <x v="1"/>
    <n v="2886.6"/>
    <n v="4"/>
    <n v="596.11"/>
    <n v="2290.4899999999998"/>
  </r>
  <r>
    <s v="ORD0124"/>
    <d v="2023-04-13T00:00:00"/>
    <s v="2023"/>
    <s v="April"/>
    <s v="Q2"/>
    <s v="Headphones"/>
    <s v="Accessories"/>
    <x v="3"/>
    <n v="1249.68"/>
    <n v="4"/>
    <n v="251.07"/>
    <n v="998.61000000000013"/>
  </r>
  <r>
    <s v="ORD0125"/>
    <d v="2024-12-26T00:00:00"/>
    <s v="2024"/>
    <s v="December"/>
    <s v="Q4"/>
    <s v="Keyboard"/>
    <s v="Accessories"/>
    <x v="0"/>
    <n v="1194.8800000000001"/>
    <n v="9"/>
    <n v="118.73"/>
    <n v="1076.1500000000001"/>
  </r>
  <r>
    <s v="ORD0126"/>
    <d v="2024-12-15T00:00:00"/>
    <s v="2024"/>
    <s v="December"/>
    <s v="Q4"/>
    <s v="Laptop"/>
    <s v="Electronics"/>
    <x v="3"/>
    <n v="2175.4"/>
    <n v="3"/>
    <n v="517.54"/>
    <n v="1657.8600000000001"/>
  </r>
  <r>
    <s v="ORD0127"/>
    <d v="2024-08-10T00:00:00"/>
    <s v="2024"/>
    <s v="August"/>
    <s v="Q3"/>
    <s v="Laptop"/>
    <s v="Electronics"/>
    <x v="0"/>
    <n v="2463.87"/>
    <n v="5"/>
    <n v="386.13"/>
    <n v="2077.7399999999998"/>
  </r>
  <r>
    <s v="ORD0128"/>
    <d v="2023-09-16T00:00:00"/>
    <s v="2023"/>
    <s v="September"/>
    <s v="Q3"/>
    <s v="Mouse"/>
    <s v="Accessories"/>
    <x v="0"/>
    <n v="981.9"/>
    <n v="8"/>
    <n v="108.99"/>
    <n v="872.91"/>
  </r>
  <r>
    <s v="ORD0129"/>
    <d v="2024-08-13T00:00:00"/>
    <s v="2024"/>
    <s v="August"/>
    <s v="Q3"/>
    <s v="Monitor"/>
    <s v="Electronics"/>
    <x v="0"/>
    <n v="197.07"/>
    <n v="1"/>
    <n v="138.35"/>
    <n v="58.72"/>
  </r>
  <r>
    <s v="ORD0130"/>
    <d v="2023-09-12T00:00:00"/>
    <s v="2023"/>
    <s v="September"/>
    <s v="Q3"/>
    <s v="Keyboard"/>
    <s v="Accessories"/>
    <x v="0"/>
    <n v="1153.25"/>
    <n v="2"/>
    <n v="455.3"/>
    <n v="697.95"/>
  </r>
  <r>
    <s v="ORD0131"/>
    <d v="2024-06-19T00:00:00"/>
    <s v="2024"/>
    <s v="June"/>
    <s v="Q2"/>
    <s v="Headphones"/>
    <s v="Accessories"/>
    <x v="1"/>
    <n v="3320.17"/>
    <n v="7"/>
    <n v="371.4"/>
    <n v="2948.77"/>
  </r>
  <r>
    <s v="ORD0132"/>
    <d v="2023-11-09T00:00:00"/>
    <s v="2023"/>
    <s v="November"/>
    <s v="Q4"/>
    <s v="Headphones"/>
    <s v="Accessories"/>
    <x v="2"/>
    <n v="6778.39"/>
    <n v="10"/>
    <n v="504.4"/>
    <n v="6273.9900000000007"/>
  </r>
  <r>
    <s v="ORD0133"/>
    <d v="2023-08-01T00:00:00"/>
    <s v="2023"/>
    <s v="August"/>
    <s v="Q3"/>
    <s v="Printer"/>
    <s v="Electronics"/>
    <x v="0"/>
    <n v="1025.6600000000001"/>
    <n v="4"/>
    <n v="226.42"/>
    <n v="799.24000000000012"/>
  </r>
  <r>
    <s v="ORD0134"/>
    <d v="2024-07-19T00:00:00"/>
    <s v="2024"/>
    <s v="July"/>
    <s v="Q3"/>
    <s v="Mouse"/>
    <s v="Accessories"/>
    <x v="1"/>
    <n v="359.06"/>
    <n v="2"/>
    <n v="142.1"/>
    <n v="216.96"/>
  </r>
  <r>
    <s v="ORD0135"/>
    <d v="2023-10-26T00:00:00"/>
    <s v="2023"/>
    <s v="October"/>
    <s v="Q4"/>
    <s v="Printer"/>
    <s v="Electronics"/>
    <x v="2"/>
    <n v="277.32"/>
    <n v="1"/>
    <n v="200.55"/>
    <n v="76.769999999999982"/>
  </r>
  <r>
    <s v="ORD0136"/>
    <d v="2023-03-14T00:00:00"/>
    <s v="2023"/>
    <s v="March"/>
    <s v="Q1"/>
    <s v="Printer"/>
    <s v="Electronics"/>
    <x v="2"/>
    <n v="4192.47"/>
    <n v="4"/>
    <n v="740.65"/>
    <n v="3451.82"/>
  </r>
  <r>
    <s v="ORD0137"/>
    <d v="2024-03-11T00:00:00"/>
    <s v="2024"/>
    <s v="March"/>
    <s v="Q1"/>
    <s v="Printer"/>
    <s v="Electronics"/>
    <x v="1"/>
    <n v="1208.9100000000001"/>
    <n v="2"/>
    <n v="444.76"/>
    <n v="764.15000000000009"/>
  </r>
  <r>
    <s v="ORD0138"/>
    <d v="2023-03-15T00:00:00"/>
    <s v="2023"/>
    <s v="March"/>
    <s v="Q1"/>
    <s v="Keyboard"/>
    <s v="Accessories"/>
    <x v="1"/>
    <n v="182.75"/>
    <n v="1"/>
    <n v="149.41999999999999"/>
    <n v="33.330000000000013"/>
  </r>
  <r>
    <s v="ORD0139"/>
    <d v="2024-03-25T00:00:00"/>
    <s v="2024"/>
    <s v="March"/>
    <s v="Q1"/>
    <s v="Printer"/>
    <s v="Electronics"/>
    <x v="3"/>
    <n v="942.08"/>
    <n v="2"/>
    <n v="385.58"/>
    <n v="556.5"/>
  </r>
  <r>
    <s v="ORD0140"/>
    <d v="2024-05-27T00:00:00"/>
    <s v="2024"/>
    <s v="May"/>
    <s v="Q2"/>
    <s v="Monitor"/>
    <s v="Electronics"/>
    <x v="3"/>
    <n v="4128.41"/>
    <n v="9"/>
    <n v="405.16"/>
    <n v="3723.25"/>
  </r>
  <r>
    <s v="ORD0141"/>
    <d v="2023-11-27T00:00:00"/>
    <s v="2023"/>
    <s v="November"/>
    <s v="Q4"/>
    <s v="Laptop"/>
    <s v="Electronics"/>
    <x v="2"/>
    <n v="2446.84"/>
    <n v="10"/>
    <n v="215.29"/>
    <n v="2231.5500000000002"/>
  </r>
  <r>
    <s v="ORD0142"/>
    <d v="2024-11-19T00:00:00"/>
    <s v="2024"/>
    <s v="November"/>
    <s v="Q4"/>
    <s v="Printer"/>
    <s v="Electronics"/>
    <x v="0"/>
    <n v="3298.6"/>
    <n v="5"/>
    <n v="469.47"/>
    <n v="2829.13"/>
  </r>
  <r>
    <s v="ORD0143"/>
    <d v="2024-06-15T00:00:00"/>
    <s v="2024"/>
    <s v="June"/>
    <s v="Q2"/>
    <s v="Mouse"/>
    <s v="Accessories"/>
    <x v="2"/>
    <n v="6890.55"/>
    <n v="8"/>
    <n v="734.54"/>
    <n v="6156.01"/>
  </r>
  <r>
    <s v="ORD0144"/>
    <d v="2024-10-12T00:00:00"/>
    <s v="2024"/>
    <s v="October"/>
    <s v="Q4"/>
    <s v="Headphones"/>
    <s v="Accessories"/>
    <x v="2"/>
    <n v="7994.49"/>
    <n v="8"/>
    <n v="775.86"/>
    <n v="7218.63"/>
  </r>
  <r>
    <s v="ORD0145"/>
    <d v="2023-11-25T00:00:00"/>
    <s v="2023"/>
    <s v="November"/>
    <s v="Q4"/>
    <s v="Monitor"/>
    <s v="Electronics"/>
    <x v="3"/>
    <n v="1697.66"/>
    <n v="2"/>
    <n v="689.03"/>
    <n v="1008.6300000000001"/>
  </r>
  <r>
    <s v="ORD0146"/>
    <d v="2023-10-23T00:00:00"/>
    <s v="2023"/>
    <s v="October"/>
    <s v="Q4"/>
    <s v="Printer"/>
    <s v="Electronics"/>
    <x v="2"/>
    <n v="6048.5"/>
    <n v="7"/>
    <n v="654.58000000000004"/>
    <n v="5393.92"/>
  </r>
  <r>
    <s v="ORD0147"/>
    <d v="2023-11-19T00:00:00"/>
    <s v="2023"/>
    <s v="November"/>
    <s v="Q4"/>
    <s v="Monitor"/>
    <s v="Electronics"/>
    <x v="0"/>
    <n v="2024.9"/>
    <n v="5"/>
    <n v="272.14999999999998"/>
    <n v="1752.75"/>
  </r>
  <r>
    <s v="ORD0148"/>
    <d v="2024-11-04T00:00:00"/>
    <s v="2024"/>
    <s v="November"/>
    <s v="Q4"/>
    <s v="Monitor"/>
    <s v="Electronics"/>
    <x v="0"/>
    <n v="3839.58"/>
    <n v="9"/>
    <n v="380.34"/>
    <n v="3459.24"/>
  </r>
  <r>
    <s v="ORD0149"/>
    <d v="2024-09-29T00:00:00"/>
    <s v="2024"/>
    <s v="September"/>
    <s v="Q3"/>
    <s v="Headphones"/>
    <s v="Accessories"/>
    <x v="3"/>
    <n v="5703.82"/>
    <n v="8"/>
    <n v="507.82"/>
    <n v="5196"/>
  </r>
  <r>
    <s v="ORD0150"/>
    <d v="2024-07-16T00:00:00"/>
    <s v="2024"/>
    <s v="July"/>
    <s v="Q3"/>
    <s v="Mouse"/>
    <s v="Accessories"/>
    <x v="3"/>
    <n v="2844.74"/>
    <n v="3"/>
    <n v="743.58"/>
    <n v="2101.16"/>
  </r>
  <r>
    <s v="ORD0151"/>
    <d v="2023-05-05T00:00:00"/>
    <s v="2023"/>
    <s v="May"/>
    <s v="Q2"/>
    <s v="Printer"/>
    <s v="Electronics"/>
    <x v="2"/>
    <n v="1046.69"/>
    <n v="1"/>
    <n v="779.05"/>
    <n v="267.6400000000001"/>
  </r>
  <r>
    <s v="ORD0152"/>
    <d v="2023-11-15T00:00:00"/>
    <s v="2023"/>
    <s v="November"/>
    <s v="Q4"/>
    <s v="Mouse"/>
    <s v="Accessories"/>
    <x v="1"/>
    <n v="348.68"/>
    <n v="9"/>
    <n v="30.67"/>
    <n v="318.01"/>
  </r>
  <r>
    <s v="ORD0153"/>
    <d v="2024-04-17T00:00:00"/>
    <s v="2024"/>
    <s v="April"/>
    <s v="Q2"/>
    <s v="Mouse"/>
    <s v="Accessories"/>
    <x v="0"/>
    <n v="1220.1600000000001"/>
    <n v="2"/>
    <n v="525.21"/>
    <n v="694.95"/>
  </r>
  <r>
    <s v="ORD0154"/>
    <d v="2024-06-05T00:00:00"/>
    <s v="2024"/>
    <s v="June"/>
    <s v="Q2"/>
    <s v="Printer"/>
    <s v="Electronics"/>
    <x v="3"/>
    <n v="2224.48"/>
    <n v="5"/>
    <n v="344.08"/>
    <n v="1880.4"/>
  </r>
  <r>
    <s v="ORD0155"/>
    <d v="2024-04-12T00:00:00"/>
    <s v="2024"/>
    <s v="April"/>
    <s v="Q2"/>
    <s v="Monitor"/>
    <s v="Electronics"/>
    <x v="1"/>
    <n v="1406.06"/>
    <n v="9"/>
    <n v="132.82"/>
    <n v="1273.24"/>
  </r>
  <r>
    <s v="ORD0156"/>
    <d v="2023-03-13T00:00:00"/>
    <s v="2023"/>
    <s v="March"/>
    <s v="Q1"/>
    <s v="Headphones"/>
    <s v="Accessories"/>
    <x v="1"/>
    <n v="4488.8599999999997"/>
    <n v="5"/>
    <n v="622.69000000000005"/>
    <n v="3866.1699999999996"/>
  </r>
  <r>
    <s v="ORD0157"/>
    <d v="2023-01-03T00:00:00"/>
    <s v="2023"/>
    <s v="January"/>
    <s v="Q1"/>
    <s v="Keyboard"/>
    <s v="Accessories"/>
    <x v="3"/>
    <n v="4206.82"/>
    <n v="5"/>
    <n v="586.32000000000005"/>
    <n v="3620.4999999999995"/>
  </r>
  <r>
    <s v="ORD0158"/>
    <d v="2023-06-02T00:00:00"/>
    <s v="2023"/>
    <s v="June"/>
    <s v="Q2"/>
    <s v="Headphones"/>
    <s v="Accessories"/>
    <x v="2"/>
    <n v="4358.83"/>
    <n v="8"/>
    <n v="440.09"/>
    <n v="3918.74"/>
  </r>
  <r>
    <s v="ORD0159"/>
    <d v="2024-04-11T00:00:00"/>
    <s v="2024"/>
    <s v="April"/>
    <s v="Q2"/>
    <s v="Headphones"/>
    <s v="Accessories"/>
    <x v="2"/>
    <n v="6252.39"/>
    <n v="6"/>
    <n v="698.29"/>
    <n v="5554.1"/>
  </r>
  <r>
    <s v="ORD0160"/>
    <d v="2023-08-28T00:00:00"/>
    <s v="2023"/>
    <s v="August"/>
    <s v="Q3"/>
    <s v="Mouse"/>
    <s v="Accessories"/>
    <x v="2"/>
    <n v="528.79"/>
    <n v="7"/>
    <n v="54.04"/>
    <n v="474.74999999999994"/>
  </r>
  <r>
    <s v="ORD0161"/>
    <d v="2024-01-31T00:00:00"/>
    <s v="2024"/>
    <s v="January"/>
    <s v="Q1"/>
    <s v="Printer"/>
    <s v="Electronics"/>
    <x v="2"/>
    <n v="1359.04"/>
    <n v="3"/>
    <n v="406.36"/>
    <n v="952.68"/>
  </r>
  <r>
    <s v="ORD0162"/>
    <d v="2023-04-13T00:00:00"/>
    <s v="2023"/>
    <s v="April"/>
    <s v="Q2"/>
    <s v="Headphones"/>
    <s v="Accessories"/>
    <x v="3"/>
    <n v="1145.3399999999999"/>
    <n v="8"/>
    <n v="97.78"/>
    <n v="1047.56"/>
  </r>
  <r>
    <s v="ORD0163"/>
    <d v="2024-02-24T00:00:00"/>
    <s v="2024"/>
    <s v="February"/>
    <s v="Q1"/>
    <s v="Laptop"/>
    <s v="Electronics"/>
    <x v="1"/>
    <n v="332.12"/>
    <n v="3"/>
    <n v="78.37"/>
    <n v="253.75"/>
  </r>
  <r>
    <s v="ORD0164"/>
    <d v="2024-09-30T00:00:00"/>
    <s v="2024"/>
    <s v="September"/>
    <s v="Q3"/>
    <s v="Keyboard"/>
    <s v="Accessories"/>
    <x v="3"/>
    <n v="5313.45"/>
    <n v="7"/>
    <n v="526.87"/>
    <n v="4786.58"/>
  </r>
  <r>
    <s v="ORD0165"/>
    <d v="2023-11-21T00:00:00"/>
    <s v="2023"/>
    <s v="November"/>
    <s v="Q4"/>
    <s v="Printer"/>
    <s v="Electronics"/>
    <x v="2"/>
    <n v="6244.51"/>
    <n v="8"/>
    <n v="700.46"/>
    <n v="5544.05"/>
  </r>
  <r>
    <s v="ORD0166"/>
    <d v="2024-10-08T00:00:00"/>
    <s v="2024"/>
    <s v="October"/>
    <s v="Q4"/>
    <s v="Laptop"/>
    <s v="Electronics"/>
    <x v="1"/>
    <n v="5580.77"/>
    <n v="5"/>
    <n v="797.99"/>
    <n v="4782.7800000000007"/>
  </r>
  <r>
    <s v="ORD0167"/>
    <d v="2024-10-10T00:00:00"/>
    <s v="2024"/>
    <s v="October"/>
    <s v="Q4"/>
    <s v="Monitor"/>
    <s v="Electronics"/>
    <x v="0"/>
    <n v="1008.6"/>
    <n v="2"/>
    <n v="366.07"/>
    <n v="642.53"/>
  </r>
  <r>
    <s v="ORD0168"/>
    <d v="2023-11-29T00:00:00"/>
    <s v="2023"/>
    <s v="November"/>
    <s v="Q4"/>
    <s v="Laptop"/>
    <s v="Electronics"/>
    <x v="0"/>
    <n v="311.02"/>
    <n v="1"/>
    <n v="248.83"/>
    <n v="62.189999999999969"/>
  </r>
  <r>
    <s v="ORD0169"/>
    <d v="2024-06-27T00:00:00"/>
    <s v="2024"/>
    <s v="June"/>
    <s v="Q2"/>
    <s v="Mouse"/>
    <s v="Accessories"/>
    <x v="1"/>
    <n v="4576.8500000000004"/>
    <n v="7"/>
    <n v="461.42"/>
    <n v="4115.43"/>
  </r>
  <r>
    <s v="ORD0170"/>
    <d v="2023-03-22T00:00:00"/>
    <s v="2023"/>
    <s v="March"/>
    <s v="Q1"/>
    <s v="Mouse"/>
    <s v="Accessories"/>
    <x v="1"/>
    <n v="9425.08"/>
    <n v="10"/>
    <n v="699.25"/>
    <n v="8725.83"/>
  </r>
  <r>
    <s v="ORD0171"/>
    <d v="2024-08-20T00:00:00"/>
    <s v="2024"/>
    <s v="August"/>
    <s v="Q3"/>
    <s v="Mouse"/>
    <s v="Accessories"/>
    <x v="2"/>
    <n v="817.61"/>
    <n v="3"/>
    <n v="201.11"/>
    <n v="616.5"/>
  </r>
  <r>
    <s v="ORD0172"/>
    <d v="2024-11-13T00:00:00"/>
    <s v="2024"/>
    <s v="November"/>
    <s v="Q4"/>
    <s v="Monitor"/>
    <s v="Electronics"/>
    <x v="3"/>
    <n v="927.47"/>
    <n v="1"/>
    <n v="721.15"/>
    <n v="206.32000000000005"/>
  </r>
  <r>
    <s v="ORD0173"/>
    <d v="2023-03-17T00:00:00"/>
    <s v="2023"/>
    <s v="March"/>
    <s v="Q1"/>
    <s v="Keyboard"/>
    <s v="Accessories"/>
    <x v="1"/>
    <n v="9057.44"/>
    <n v="8"/>
    <n v="757.28"/>
    <n v="8300.16"/>
  </r>
  <r>
    <s v="ORD0174"/>
    <d v="2024-12-07T00:00:00"/>
    <s v="2024"/>
    <s v="December"/>
    <s v="Q4"/>
    <s v="Keyboard"/>
    <s v="Accessories"/>
    <x v="2"/>
    <n v="2297.21"/>
    <n v="5"/>
    <n v="376.33"/>
    <n v="1920.88"/>
  </r>
  <r>
    <s v="ORD0175"/>
    <d v="2023-04-20T00:00:00"/>
    <s v="2023"/>
    <s v="April"/>
    <s v="Q2"/>
    <s v="Monitor"/>
    <s v="Electronics"/>
    <x v="2"/>
    <n v="1579.15"/>
    <n v="4"/>
    <n v="317.45999999999998"/>
    <n v="1261.69"/>
  </r>
  <r>
    <s v="ORD0176"/>
    <d v="2023-01-23T00:00:00"/>
    <s v="2023"/>
    <s v="January"/>
    <s v="Q1"/>
    <s v="Keyboard"/>
    <s v="Accessories"/>
    <x v="3"/>
    <n v="2173.4299999999998"/>
    <n v="7"/>
    <n v="234.09"/>
    <n v="1939.34"/>
  </r>
  <r>
    <s v="ORD0177"/>
    <d v="2024-09-12T00:00:00"/>
    <s v="2024"/>
    <s v="September"/>
    <s v="Q3"/>
    <s v="Printer"/>
    <s v="Electronics"/>
    <x v="0"/>
    <n v="7827.33"/>
    <n v="8"/>
    <n v="669.61"/>
    <n v="7157.72"/>
  </r>
  <r>
    <s v="ORD0178"/>
    <d v="2023-08-13T00:00:00"/>
    <s v="2023"/>
    <s v="August"/>
    <s v="Q3"/>
    <s v="Mouse"/>
    <s v="Accessories"/>
    <x v="3"/>
    <n v="2765.79"/>
    <n v="4"/>
    <n v="504.3"/>
    <n v="2261.4899999999998"/>
  </r>
  <r>
    <s v="ORD0179"/>
    <d v="2024-10-05T00:00:00"/>
    <s v="2024"/>
    <s v="October"/>
    <s v="Q4"/>
    <s v="Printer"/>
    <s v="Electronics"/>
    <x v="1"/>
    <n v="1968.93"/>
    <n v="2"/>
    <n v="724.65"/>
    <n v="1244.2800000000002"/>
  </r>
  <r>
    <s v="ORD0180"/>
    <d v="2023-02-04T00:00:00"/>
    <s v="2023"/>
    <s v="February"/>
    <s v="Q1"/>
    <s v="Keyboard"/>
    <s v="Accessories"/>
    <x v="2"/>
    <n v="3510.6"/>
    <n v="10"/>
    <n v="304.58999999999997"/>
    <n v="3206.0099999999998"/>
  </r>
  <r>
    <s v="ORD0181"/>
    <d v="2024-03-01T00:00:00"/>
    <s v="2024"/>
    <s v="March"/>
    <s v="Q1"/>
    <s v="Keyboard"/>
    <s v="Accessories"/>
    <x v="3"/>
    <n v="749.54"/>
    <n v="3"/>
    <n v="176.62"/>
    <n v="572.91999999999996"/>
  </r>
  <r>
    <s v="ORD0182"/>
    <d v="2023-06-18T00:00:00"/>
    <s v="2023"/>
    <s v="June"/>
    <s v="Q2"/>
    <s v="Keyboard"/>
    <s v="Accessories"/>
    <x v="3"/>
    <n v="5415.38"/>
    <n v="5"/>
    <n v="732.96"/>
    <n v="4682.42"/>
  </r>
  <r>
    <s v="ORD0183"/>
    <d v="2023-04-28T00:00:00"/>
    <s v="2023"/>
    <s v="April"/>
    <s v="Q2"/>
    <s v="Keyboard"/>
    <s v="Accessories"/>
    <x v="3"/>
    <n v="7132.63"/>
    <n v="8"/>
    <n v="771.06"/>
    <n v="6361.57"/>
  </r>
  <r>
    <s v="ORD0184"/>
    <d v="2024-07-24T00:00:00"/>
    <s v="2024"/>
    <s v="July"/>
    <s v="Q3"/>
    <s v="Mouse"/>
    <s v="Accessories"/>
    <x v="2"/>
    <n v="682.55"/>
    <n v="6"/>
    <n v="90.44"/>
    <n v="592.1099999999999"/>
  </r>
  <r>
    <s v="ORD0185"/>
    <d v="2024-04-10T00:00:00"/>
    <s v="2024"/>
    <s v="April"/>
    <s v="Q2"/>
    <s v="Keyboard"/>
    <s v="Accessories"/>
    <x v="0"/>
    <n v="4474.8599999999997"/>
    <n v="6"/>
    <n v="544.80999999999995"/>
    <n v="3930.0499999999997"/>
  </r>
  <r>
    <s v="ORD0186"/>
    <d v="2024-10-15T00:00:00"/>
    <s v="2024"/>
    <s v="October"/>
    <s v="Q4"/>
    <s v="Headphones"/>
    <s v="Accessories"/>
    <x v="2"/>
    <n v="748.41"/>
    <n v="6"/>
    <n v="104.51"/>
    <n v="643.9"/>
  </r>
  <r>
    <s v="ORD0187"/>
    <d v="2024-09-16T00:00:00"/>
    <s v="2024"/>
    <s v="September"/>
    <s v="Q3"/>
    <s v="Laptop"/>
    <s v="Electronics"/>
    <x v="3"/>
    <n v="2844.66"/>
    <n v="4"/>
    <n v="525.16999999999996"/>
    <n v="2319.4899999999998"/>
  </r>
  <r>
    <s v="ORD0188"/>
    <d v="2024-10-26T00:00:00"/>
    <s v="2024"/>
    <s v="October"/>
    <s v="Q4"/>
    <s v="Monitor"/>
    <s v="Electronics"/>
    <x v="3"/>
    <n v="868.87"/>
    <n v="7"/>
    <n v="111.01"/>
    <n v="757.86"/>
  </r>
  <r>
    <s v="ORD0189"/>
    <d v="2024-05-19T00:00:00"/>
    <s v="2024"/>
    <s v="May"/>
    <s v="Q2"/>
    <s v="Laptop"/>
    <s v="Electronics"/>
    <x v="3"/>
    <n v="278.79000000000002"/>
    <n v="2"/>
    <n v="95.81"/>
    <n v="182.98000000000002"/>
  </r>
  <r>
    <s v="ORD0190"/>
    <d v="2024-04-09T00:00:00"/>
    <s v="2024"/>
    <s v="April"/>
    <s v="Q2"/>
    <s v="Mouse"/>
    <s v="Accessories"/>
    <x v="2"/>
    <n v="4552.09"/>
    <n v="6"/>
    <n v="542.98"/>
    <n v="4009.11"/>
  </r>
  <r>
    <s v="ORD0191"/>
    <d v="2024-08-24T00:00:00"/>
    <s v="2024"/>
    <s v="August"/>
    <s v="Q3"/>
    <s v="Headphones"/>
    <s v="Accessories"/>
    <x v="2"/>
    <n v="2903.53"/>
    <n v="3"/>
    <n v="710.62"/>
    <n v="2192.9100000000003"/>
  </r>
  <r>
    <s v="ORD0192"/>
    <d v="2023-10-14T00:00:00"/>
    <s v="2023"/>
    <s v="October"/>
    <s v="Q4"/>
    <s v="Monitor"/>
    <s v="Electronics"/>
    <x v="2"/>
    <n v="662.79"/>
    <n v="1"/>
    <n v="558.41999999999996"/>
    <n v="104.37"/>
  </r>
  <r>
    <s v="ORD0193"/>
    <d v="2024-01-07T00:00:00"/>
    <s v="2024"/>
    <s v="January"/>
    <s v="Q1"/>
    <s v="Monitor"/>
    <s v="Electronics"/>
    <x v="1"/>
    <n v="1957.99"/>
    <n v="2"/>
    <n v="785.12"/>
    <n v="1172.8699999999999"/>
  </r>
  <r>
    <s v="ORD0194"/>
    <d v="2023-03-04T00:00:00"/>
    <s v="2023"/>
    <s v="March"/>
    <s v="Q1"/>
    <s v="Printer"/>
    <s v="Electronics"/>
    <x v="3"/>
    <n v="2448.56"/>
    <n v="7"/>
    <n v="235.19"/>
    <n v="2213.37"/>
  </r>
  <r>
    <s v="ORD0195"/>
    <d v="2024-11-09T00:00:00"/>
    <s v="2024"/>
    <s v="November"/>
    <s v="Q4"/>
    <s v="Monitor"/>
    <s v="Electronics"/>
    <x v="0"/>
    <n v="2787.66"/>
    <n v="4"/>
    <n v="520.53"/>
    <n v="2267.13"/>
  </r>
  <r>
    <s v="ORD0196"/>
    <d v="2023-12-08T00:00:00"/>
    <s v="2023"/>
    <s v="December"/>
    <s v="Q4"/>
    <s v="Laptop"/>
    <s v="Electronics"/>
    <x v="0"/>
    <n v="4477.9799999999996"/>
    <n v="4"/>
    <n v="791.28"/>
    <n v="3686.7"/>
  </r>
  <r>
    <s v="ORD0197"/>
    <d v="2024-07-21T00:00:00"/>
    <s v="2024"/>
    <s v="July"/>
    <s v="Q3"/>
    <s v="Mouse"/>
    <s v="Accessories"/>
    <x v="0"/>
    <n v="2721.49"/>
    <n v="4"/>
    <n v="477.38"/>
    <n v="2244.1099999999997"/>
  </r>
  <r>
    <s v="ORD0198"/>
    <d v="2023-06-01T00:00:00"/>
    <s v="2023"/>
    <s v="June"/>
    <s v="Q2"/>
    <s v="Mouse"/>
    <s v="Accessories"/>
    <x v="3"/>
    <n v="320.57"/>
    <n v="10"/>
    <n v="22.21"/>
    <n v="298.36"/>
  </r>
  <r>
    <s v="ORD0199"/>
    <d v="2024-07-07T00:00:00"/>
    <s v="2024"/>
    <s v="July"/>
    <s v="Q3"/>
    <s v="Mouse"/>
    <s v="Accessories"/>
    <x v="1"/>
    <n v="3676.95"/>
    <n v="5"/>
    <n v="642.84"/>
    <n v="3034.1099999999997"/>
  </r>
  <r>
    <s v="ORD0200"/>
    <d v="2023-01-16T00:00:00"/>
    <s v="2023"/>
    <s v="January"/>
    <s v="Q1"/>
    <s v="Laptop"/>
    <s v="Electronics"/>
    <x v="1"/>
    <n v="4562.1400000000003"/>
    <n v="6"/>
    <n v="636.19000000000005"/>
    <n v="3925.9500000000003"/>
  </r>
  <r>
    <s v="ORD0201"/>
    <d v="2023-06-28T00:00:00"/>
    <s v="2023"/>
    <s v="June"/>
    <s v="Q2"/>
    <s v="Keyboard"/>
    <s v="Accessories"/>
    <x v="0"/>
    <n v="425.08"/>
    <n v="5"/>
    <n v="60.87"/>
    <n v="364.21"/>
  </r>
  <r>
    <s v="ORD0202"/>
    <d v="2023-03-07T00:00:00"/>
    <s v="2023"/>
    <s v="March"/>
    <s v="Q1"/>
    <s v="Headphones"/>
    <s v="Accessories"/>
    <x v="0"/>
    <n v="3681.17"/>
    <n v="8"/>
    <n v="369.65"/>
    <n v="3311.52"/>
  </r>
  <r>
    <s v="ORD0203"/>
    <d v="2024-04-07T00:00:00"/>
    <s v="2024"/>
    <s v="April"/>
    <s v="Q2"/>
    <s v="Headphones"/>
    <s v="Accessories"/>
    <x v="0"/>
    <n v="2335.77"/>
    <n v="9"/>
    <n v="192.81"/>
    <n v="2142.96"/>
  </r>
  <r>
    <s v="ORD0204"/>
    <d v="2024-04-14T00:00:00"/>
    <s v="2024"/>
    <s v="April"/>
    <s v="Q2"/>
    <s v="Printer"/>
    <s v="Electronics"/>
    <x v="3"/>
    <n v="87.11"/>
    <n v="1"/>
    <n v="67.44"/>
    <n v="19.670000000000002"/>
  </r>
  <r>
    <s v="ORD0205"/>
    <d v="2024-12-03T00:00:00"/>
    <s v="2024"/>
    <s v="December"/>
    <s v="Q4"/>
    <s v="Monitor"/>
    <s v="Electronics"/>
    <x v="2"/>
    <n v="1178.1600000000001"/>
    <n v="2"/>
    <n v="402.41"/>
    <n v="775.75"/>
  </r>
  <r>
    <s v="ORD0206"/>
    <d v="2023-11-26T00:00:00"/>
    <s v="2023"/>
    <s v="November"/>
    <s v="Q4"/>
    <s v="Laptop"/>
    <s v="Electronics"/>
    <x v="0"/>
    <n v="1561.2"/>
    <n v="10"/>
    <n v="135.69999999999999"/>
    <n v="1425.5"/>
  </r>
  <r>
    <s v="ORD0207"/>
    <d v="2024-01-26T00:00:00"/>
    <s v="2024"/>
    <s v="January"/>
    <s v="Q1"/>
    <s v="Headphones"/>
    <s v="Accessories"/>
    <x v="3"/>
    <n v="5559.47"/>
    <n v="10"/>
    <n v="433.83"/>
    <n v="5125.6400000000003"/>
  </r>
  <r>
    <s v="ORD0208"/>
    <d v="2023-04-12T00:00:00"/>
    <s v="2023"/>
    <s v="April"/>
    <s v="Q2"/>
    <s v="Headphones"/>
    <s v="Accessories"/>
    <x v="2"/>
    <n v="1864.19"/>
    <n v="2"/>
    <n v="685.18"/>
    <n v="1179.0100000000002"/>
  </r>
  <r>
    <s v="ORD0209"/>
    <d v="2024-03-16T00:00:00"/>
    <s v="2024"/>
    <s v="March"/>
    <s v="Q1"/>
    <s v="Headphones"/>
    <s v="Accessories"/>
    <x v="1"/>
    <n v="7215.62"/>
    <n v="8"/>
    <n v="712.71"/>
    <n v="6502.91"/>
  </r>
  <r>
    <s v="ORD0210"/>
    <d v="2024-03-01T00:00:00"/>
    <s v="2024"/>
    <s v="March"/>
    <s v="Q1"/>
    <s v="Monitor"/>
    <s v="Electronics"/>
    <x v="2"/>
    <n v="646.29"/>
    <n v="2"/>
    <n v="263.79000000000002"/>
    <n v="382.49999999999994"/>
  </r>
  <r>
    <s v="ORD0211"/>
    <d v="2023-06-06T00:00:00"/>
    <s v="2023"/>
    <s v="June"/>
    <s v="Q2"/>
    <s v="Keyboard"/>
    <s v="Accessories"/>
    <x v="3"/>
    <n v="829.37"/>
    <n v="8"/>
    <n v="72.36"/>
    <n v="757.01"/>
  </r>
  <r>
    <s v="ORD0212"/>
    <d v="2023-04-09T00:00:00"/>
    <s v="2023"/>
    <s v="April"/>
    <s v="Q2"/>
    <s v="Laptop"/>
    <s v="Electronics"/>
    <x v="2"/>
    <n v="5183.17"/>
    <n v="6"/>
    <n v="653.17999999999995"/>
    <n v="4529.99"/>
  </r>
  <r>
    <s v="ORD0213"/>
    <d v="2024-11-17T00:00:00"/>
    <s v="2024"/>
    <s v="November"/>
    <s v="Q4"/>
    <s v="Headphones"/>
    <s v="Accessories"/>
    <x v="3"/>
    <n v="986.87"/>
    <n v="2"/>
    <n v="340.43"/>
    <n v="646.44000000000005"/>
  </r>
  <r>
    <s v="ORD0214"/>
    <d v="2023-10-22T00:00:00"/>
    <s v="2023"/>
    <s v="October"/>
    <s v="Q4"/>
    <s v="Monitor"/>
    <s v="Electronics"/>
    <x v="0"/>
    <n v="3010.09"/>
    <n v="10"/>
    <n v="263.70999999999998"/>
    <n v="2746.38"/>
  </r>
  <r>
    <s v="ORD0215"/>
    <d v="2023-06-08T00:00:00"/>
    <s v="2023"/>
    <s v="June"/>
    <s v="Q2"/>
    <s v="Headphones"/>
    <s v="Accessories"/>
    <x v="1"/>
    <n v="1782.71"/>
    <n v="8"/>
    <n v="194.91"/>
    <n v="1587.8"/>
  </r>
  <r>
    <s v="ORD0216"/>
    <d v="2023-04-28T00:00:00"/>
    <s v="2023"/>
    <s v="April"/>
    <s v="Q2"/>
    <s v="Headphones"/>
    <s v="Accessories"/>
    <x v="3"/>
    <n v="3328.14"/>
    <n v="5"/>
    <n v="467.8"/>
    <n v="2860.3399999999997"/>
  </r>
  <r>
    <s v="ORD0217"/>
    <d v="2024-09-15T00:00:00"/>
    <s v="2024"/>
    <s v="September"/>
    <s v="Q3"/>
    <s v="Headphones"/>
    <s v="Accessories"/>
    <x v="0"/>
    <n v="257.45999999999998"/>
    <n v="5"/>
    <n v="42.58"/>
    <n v="214.88"/>
  </r>
  <r>
    <s v="ORD0218"/>
    <d v="2023-12-26T00:00:00"/>
    <s v="2023"/>
    <s v="December"/>
    <s v="Q4"/>
    <s v="Keyboard"/>
    <s v="Accessories"/>
    <x v="3"/>
    <n v="186.9"/>
    <n v="1"/>
    <n v="161.5"/>
    <n v="25.400000000000006"/>
  </r>
  <r>
    <s v="ORD0219"/>
    <d v="2023-03-13T00:00:00"/>
    <s v="2023"/>
    <s v="March"/>
    <s v="Q1"/>
    <s v="Printer"/>
    <s v="Electronics"/>
    <x v="2"/>
    <n v="2670.59"/>
    <n v="3"/>
    <n v="597.96"/>
    <n v="2072.63"/>
  </r>
  <r>
    <s v="ORD0220"/>
    <d v="2024-01-21T00:00:00"/>
    <s v="2024"/>
    <s v="January"/>
    <s v="Q1"/>
    <s v="Laptop"/>
    <s v="Electronics"/>
    <x v="1"/>
    <n v="3043.34"/>
    <n v="7"/>
    <n v="373.84"/>
    <n v="2669.5"/>
  </r>
  <r>
    <s v="ORD0221"/>
    <d v="2024-08-04T00:00:00"/>
    <s v="2024"/>
    <s v="August"/>
    <s v="Q3"/>
    <s v="Keyboard"/>
    <s v="Accessories"/>
    <x v="3"/>
    <n v="967.12"/>
    <n v="10"/>
    <n v="86.27"/>
    <n v="880.85"/>
  </r>
  <r>
    <s v="ORD0222"/>
    <d v="2024-11-21T00:00:00"/>
    <s v="2024"/>
    <s v="November"/>
    <s v="Q4"/>
    <s v="Mouse"/>
    <s v="Accessories"/>
    <x v="0"/>
    <n v="633.91"/>
    <n v="2"/>
    <n v="232.24"/>
    <n v="401.66999999999996"/>
  </r>
  <r>
    <s v="ORD0223"/>
    <d v="2024-02-29T00:00:00"/>
    <s v="2024"/>
    <s v="February"/>
    <s v="Q1"/>
    <s v="Monitor"/>
    <s v="Electronics"/>
    <x v="2"/>
    <n v="1227.56"/>
    <n v="5"/>
    <n v="188.14"/>
    <n v="1039.42"/>
  </r>
  <r>
    <s v="ORD0224"/>
    <d v="2023-04-24T00:00:00"/>
    <s v="2023"/>
    <s v="April"/>
    <s v="Q2"/>
    <s v="Keyboard"/>
    <s v="Accessories"/>
    <x v="2"/>
    <n v="3670.83"/>
    <n v="5"/>
    <n v="549.01"/>
    <n v="3121.8199999999997"/>
  </r>
  <r>
    <s v="ORD0225"/>
    <d v="2023-02-16T00:00:00"/>
    <s v="2023"/>
    <s v="February"/>
    <s v="Q1"/>
    <s v="Headphones"/>
    <s v="Accessories"/>
    <x v="3"/>
    <n v="1759.39"/>
    <n v="4"/>
    <n v="328.31"/>
    <n v="1431.0800000000002"/>
  </r>
  <r>
    <s v="ORD0226"/>
    <d v="2023-11-05T00:00:00"/>
    <s v="2023"/>
    <s v="November"/>
    <s v="Q4"/>
    <s v="Laptop"/>
    <s v="Electronics"/>
    <x v="1"/>
    <n v="3477.78"/>
    <n v="4"/>
    <n v="618.53"/>
    <n v="2859.25"/>
  </r>
  <r>
    <s v="ORD0227"/>
    <d v="2023-05-03T00:00:00"/>
    <s v="2023"/>
    <s v="May"/>
    <s v="Q2"/>
    <s v="Keyboard"/>
    <s v="Accessories"/>
    <x v="3"/>
    <n v="519.03"/>
    <n v="1"/>
    <n v="407.96"/>
    <n v="111.07"/>
  </r>
  <r>
    <s v="ORD0228"/>
    <d v="2024-06-29T00:00:00"/>
    <s v="2024"/>
    <s v="June"/>
    <s v="Q2"/>
    <s v="Mouse"/>
    <s v="Accessories"/>
    <x v="2"/>
    <n v="2351.83"/>
    <n v="4"/>
    <n v="410.2"/>
    <n v="1941.6299999999999"/>
  </r>
  <r>
    <s v="ORD0229"/>
    <d v="2024-02-11T00:00:00"/>
    <s v="2024"/>
    <s v="February"/>
    <s v="Q1"/>
    <s v="Keyboard"/>
    <s v="Accessories"/>
    <x v="0"/>
    <n v="462.53"/>
    <n v="1"/>
    <n v="360.25"/>
    <n v="102.27999999999997"/>
  </r>
  <r>
    <s v="ORD0230"/>
    <d v="2024-08-12T00:00:00"/>
    <s v="2024"/>
    <s v="August"/>
    <s v="Q3"/>
    <s v="Laptop"/>
    <s v="Electronics"/>
    <x v="3"/>
    <n v="4526.0600000000004"/>
    <n v="7"/>
    <n v="467.25"/>
    <n v="4058.8100000000004"/>
  </r>
  <r>
    <s v="ORD0231"/>
    <d v="2023-04-28T00:00:00"/>
    <s v="2023"/>
    <s v="April"/>
    <s v="Q2"/>
    <s v="Monitor"/>
    <s v="Electronics"/>
    <x v="3"/>
    <n v="312.26"/>
    <n v="7"/>
    <n v="36.270000000000003"/>
    <n v="275.99"/>
  </r>
  <r>
    <s v="ORD0232"/>
    <d v="2024-12-07T00:00:00"/>
    <s v="2024"/>
    <s v="December"/>
    <s v="Q4"/>
    <s v="Headphones"/>
    <s v="Accessories"/>
    <x v="2"/>
    <n v="765.54"/>
    <n v="6"/>
    <n v="88.74"/>
    <n v="676.8"/>
  </r>
  <r>
    <s v="ORD0233"/>
    <d v="2024-08-26T00:00:00"/>
    <s v="2024"/>
    <s v="August"/>
    <s v="Q3"/>
    <s v="Mouse"/>
    <s v="Accessories"/>
    <x v="2"/>
    <n v="3775.96"/>
    <n v="7"/>
    <n v="428.69"/>
    <n v="3347.27"/>
  </r>
  <r>
    <s v="ORD0234"/>
    <d v="2023-08-15T00:00:00"/>
    <s v="2023"/>
    <s v="August"/>
    <s v="Q3"/>
    <s v="Keyboard"/>
    <s v="Accessories"/>
    <x v="3"/>
    <n v="4257.95"/>
    <n v="6"/>
    <n v="627.71"/>
    <n v="3630.24"/>
  </r>
  <r>
    <s v="ORD0235"/>
    <d v="2024-06-27T00:00:00"/>
    <s v="2024"/>
    <s v="June"/>
    <s v="Q2"/>
    <s v="Printer"/>
    <s v="Electronics"/>
    <x v="0"/>
    <n v="2173.79"/>
    <n v="9"/>
    <n v="171.24"/>
    <n v="2002.55"/>
  </r>
  <r>
    <s v="ORD0236"/>
    <d v="2023-08-30T00:00:00"/>
    <s v="2023"/>
    <s v="August"/>
    <s v="Q3"/>
    <s v="Keyboard"/>
    <s v="Accessories"/>
    <x v="1"/>
    <n v="316.49"/>
    <n v="2"/>
    <n v="134.22999999999999"/>
    <n v="182.26000000000002"/>
  </r>
  <r>
    <s v="ORD0237"/>
    <d v="2024-11-02T00:00:00"/>
    <s v="2024"/>
    <s v="November"/>
    <s v="Q4"/>
    <s v="Headphones"/>
    <s v="Accessories"/>
    <x v="1"/>
    <n v="445.77"/>
    <n v="2"/>
    <n v="158.16999999999999"/>
    <n v="287.60000000000002"/>
  </r>
  <r>
    <s v="ORD0238"/>
    <d v="2024-07-31T00:00:00"/>
    <s v="2024"/>
    <s v="July"/>
    <s v="Q3"/>
    <s v="Monitor"/>
    <s v="Electronics"/>
    <x v="2"/>
    <n v="5439.95"/>
    <n v="10"/>
    <n v="370.15"/>
    <n v="5069.8"/>
  </r>
  <r>
    <s v="ORD0239"/>
    <d v="2024-10-04T00:00:00"/>
    <s v="2024"/>
    <s v="October"/>
    <s v="Q4"/>
    <s v="Headphones"/>
    <s v="Accessories"/>
    <x v="3"/>
    <n v="931.73"/>
    <n v="6"/>
    <n v="137.75"/>
    <n v="793.98"/>
  </r>
  <r>
    <s v="ORD0240"/>
    <d v="2023-10-09T00:00:00"/>
    <s v="2023"/>
    <s v="October"/>
    <s v="Q4"/>
    <s v="Monitor"/>
    <s v="Electronics"/>
    <x v="3"/>
    <n v="831.4"/>
    <n v="10"/>
    <n v="63.81"/>
    <n v="767.58999999999992"/>
  </r>
  <r>
    <s v="ORD0241"/>
    <d v="2024-04-07T00:00:00"/>
    <s v="2024"/>
    <s v="April"/>
    <s v="Q2"/>
    <s v="Keyboard"/>
    <s v="Accessories"/>
    <x v="2"/>
    <n v="92.22"/>
    <n v="1"/>
    <n v="64.37"/>
    <n v="27.849999999999994"/>
  </r>
  <r>
    <s v="ORD0242"/>
    <d v="2024-09-21T00:00:00"/>
    <s v="2024"/>
    <s v="September"/>
    <s v="Q3"/>
    <s v="Laptop"/>
    <s v="Electronics"/>
    <x v="0"/>
    <n v="5339.66"/>
    <n v="10"/>
    <n v="415.51"/>
    <n v="4924.1499999999996"/>
  </r>
  <r>
    <s v="ORD0243"/>
    <d v="2024-04-05T00:00:00"/>
    <s v="2024"/>
    <s v="April"/>
    <s v="Q2"/>
    <s v="Headphones"/>
    <s v="Accessories"/>
    <x v="0"/>
    <n v="6492.35"/>
    <n v="10"/>
    <n v="528.42999999999995"/>
    <n v="5963.92"/>
  </r>
  <r>
    <s v="ORD0244"/>
    <d v="2023-03-05T00:00:00"/>
    <s v="2023"/>
    <s v="March"/>
    <s v="Q1"/>
    <s v="Monitor"/>
    <s v="Electronics"/>
    <x v="1"/>
    <n v="1176.24"/>
    <n v="8"/>
    <n v="100.73"/>
    <n v="1075.51"/>
  </r>
  <r>
    <s v="ORD0245"/>
    <d v="2024-05-31T00:00:00"/>
    <s v="2024"/>
    <s v="May"/>
    <s v="Q2"/>
    <s v="Keyboard"/>
    <s v="Accessories"/>
    <x v="0"/>
    <n v="209.66"/>
    <n v="3"/>
    <n v="50.53"/>
    <n v="159.13"/>
  </r>
  <r>
    <s v="ORD0246"/>
    <d v="2024-01-08T00:00:00"/>
    <s v="2024"/>
    <s v="January"/>
    <s v="Q1"/>
    <s v="Monitor"/>
    <s v="Electronics"/>
    <x v="1"/>
    <n v="5541.86"/>
    <n v="6"/>
    <n v="735.99"/>
    <n v="4805.87"/>
  </r>
  <r>
    <s v="ORD0247"/>
    <d v="2024-10-08T00:00:00"/>
    <s v="2024"/>
    <s v="October"/>
    <s v="Q4"/>
    <s v="Keyboard"/>
    <s v="Accessories"/>
    <x v="0"/>
    <n v="487.5"/>
    <n v="6"/>
    <n v="71.41"/>
    <n v="416.09000000000003"/>
  </r>
  <r>
    <s v="ORD0248"/>
    <d v="2023-10-18T00:00:00"/>
    <s v="2023"/>
    <s v="October"/>
    <s v="Q4"/>
    <s v="Printer"/>
    <s v="Electronics"/>
    <x v="2"/>
    <n v="3982.34"/>
    <n v="5"/>
    <n v="584.51"/>
    <n v="3397.83"/>
  </r>
  <r>
    <s v="ORD0249"/>
    <d v="2023-12-08T00:00:00"/>
    <s v="2023"/>
    <s v="December"/>
    <s v="Q4"/>
    <s v="Headphones"/>
    <s v="Accessories"/>
    <x v="1"/>
    <n v="1097.68"/>
    <n v="2"/>
    <n v="474.54"/>
    <n v="623.1400000000001"/>
  </r>
  <r>
    <s v="ORD0250"/>
    <d v="2024-11-02T00:00:00"/>
    <s v="2024"/>
    <s v="November"/>
    <s v="Q4"/>
    <s v="Keyboard"/>
    <s v="Accessories"/>
    <x v="3"/>
    <n v="1167.79"/>
    <n v="7"/>
    <n v="120.58"/>
    <n v="1047.21"/>
  </r>
  <r>
    <s v="ORD0251"/>
    <d v="2024-07-26T00:00:00"/>
    <s v="2024"/>
    <s v="July"/>
    <s v="Q3"/>
    <s v="Laptop"/>
    <s v="Electronics"/>
    <x v="3"/>
    <n v="4498.8100000000004"/>
    <n v="7"/>
    <n v="521.91999999999996"/>
    <n v="3976.8900000000003"/>
  </r>
  <r>
    <s v="ORD0252"/>
    <d v="2024-10-23T00:00:00"/>
    <s v="2024"/>
    <s v="October"/>
    <s v="Q4"/>
    <s v="Mouse"/>
    <s v="Accessories"/>
    <x v="0"/>
    <n v="3229.24"/>
    <n v="7"/>
    <n v="416.62"/>
    <n v="2812.62"/>
  </r>
  <r>
    <s v="ORD0253"/>
    <d v="2023-08-08T00:00:00"/>
    <s v="2023"/>
    <s v="August"/>
    <s v="Q3"/>
    <s v="Keyboard"/>
    <s v="Accessories"/>
    <x v="1"/>
    <n v="5896.59"/>
    <n v="6"/>
    <n v="759.18"/>
    <n v="5137.41"/>
  </r>
  <r>
    <s v="ORD0254"/>
    <d v="2023-06-08T00:00:00"/>
    <s v="2023"/>
    <s v="June"/>
    <s v="Q2"/>
    <s v="Mouse"/>
    <s v="Accessories"/>
    <x v="1"/>
    <n v="709.66"/>
    <n v="2"/>
    <n v="250.72"/>
    <n v="458.93999999999994"/>
  </r>
  <r>
    <s v="ORD0255"/>
    <d v="2024-11-08T00:00:00"/>
    <s v="2024"/>
    <s v="November"/>
    <s v="Q4"/>
    <s v="Headphones"/>
    <s v="Accessories"/>
    <x v="0"/>
    <n v="5687.31"/>
    <n v="6"/>
    <n v="703.59"/>
    <n v="4983.72"/>
  </r>
  <r>
    <s v="ORD0256"/>
    <d v="2023-06-07T00:00:00"/>
    <s v="2023"/>
    <s v="June"/>
    <s v="Q2"/>
    <s v="Headphones"/>
    <s v="Accessories"/>
    <x v="2"/>
    <n v="665.41"/>
    <n v="3"/>
    <n v="161.06"/>
    <n v="504.34999999999997"/>
  </r>
  <r>
    <s v="ORD0257"/>
    <d v="2024-03-24T00:00:00"/>
    <s v="2024"/>
    <s v="March"/>
    <s v="Q1"/>
    <s v="Headphones"/>
    <s v="Accessories"/>
    <x v="1"/>
    <n v="466.63"/>
    <n v="1"/>
    <n v="340.47"/>
    <n v="126.15999999999997"/>
  </r>
  <r>
    <s v="ORD0258"/>
    <d v="2024-09-17T00:00:00"/>
    <s v="2024"/>
    <s v="September"/>
    <s v="Q3"/>
    <s v="Mouse"/>
    <s v="Accessories"/>
    <x v="2"/>
    <n v="4289.1099999999997"/>
    <n v="5"/>
    <n v="606.87"/>
    <n v="3682.24"/>
  </r>
  <r>
    <s v="ORD0259"/>
    <d v="2023-11-13T00:00:00"/>
    <s v="2023"/>
    <s v="November"/>
    <s v="Q4"/>
    <s v="Mouse"/>
    <s v="Accessories"/>
    <x v="1"/>
    <n v="6831.06"/>
    <n v="8"/>
    <n v="725.1"/>
    <n v="6105.96"/>
  </r>
  <r>
    <s v="ORD0260"/>
    <d v="2024-04-17T00:00:00"/>
    <s v="2024"/>
    <s v="April"/>
    <s v="Q2"/>
    <s v="Printer"/>
    <s v="Electronics"/>
    <x v="2"/>
    <n v="4078.75"/>
    <n v="5"/>
    <n v="626.94000000000005"/>
    <n v="3451.81"/>
  </r>
  <r>
    <s v="ORD0261"/>
    <d v="2023-07-24T00:00:00"/>
    <s v="2023"/>
    <s v="July"/>
    <s v="Q3"/>
    <s v="Monitor"/>
    <s v="Electronics"/>
    <x v="1"/>
    <n v="1535.4"/>
    <n v="10"/>
    <n v="127.95"/>
    <n v="1407.45"/>
  </r>
  <r>
    <s v="ORD0262"/>
    <d v="2024-01-16T00:00:00"/>
    <s v="2024"/>
    <s v="January"/>
    <s v="Q1"/>
    <s v="Printer"/>
    <s v="Electronics"/>
    <x v="2"/>
    <n v="9330.2099999999991"/>
    <n v="9"/>
    <n v="748.75"/>
    <n v="8581.4599999999991"/>
  </r>
  <r>
    <s v="ORD0263"/>
    <d v="2023-10-19T00:00:00"/>
    <s v="2023"/>
    <s v="October"/>
    <s v="Q4"/>
    <s v="Headphones"/>
    <s v="Accessories"/>
    <x v="0"/>
    <n v="1487.77"/>
    <n v="2"/>
    <n v="615.23"/>
    <n v="872.54"/>
  </r>
  <r>
    <s v="ORD0264"/>
    <d v="2024-03-23T00:00:00"/>
    <s v="2024"/>
    <s v="March"/>
    <s v="Q1"/>
    <s v="Headphones"/>
    <s v="Accessories"/>
    <x v="1"/>
    <n v="1802.72"/>
    <n v="2"/>
    <n v="758.2"/>
    <n v="1044.52"/>
  </r>
  <r>
    <s v="ORD0265"/>
    <d v="2023-01-28T00:00:00"/>
    <s v="2023"/>
    <s v="January"/>
    <s v="Q1"/>
    <s v="Monitor"/>
    <s v="Electronics"/>
    <x v="3"/>
    <n v="560.36"/>
    <n v="7"/>
    <n v="61.54"/>
    <n v="498.82"/>
  </r>
  <r>
    <s v="ORD0266"/>
    <d v="2023-03-25T00:00:00"/>
    <s v="2023"/>
    <s v="March"/>
    <s v="Q1"/>
    <s v="Mouse"/>
    <s v="Accessories"/>
    <x v="2"/>
    <n v="1437.18"/>
    <n v="6"/>
    <n v="195.14"/>
    <n v="1242.04"/>
  </r>
  <r>
    <s v="ORD0267"/>
    <d v="2023-05-30T00:00:00"/>
    <s v="2023"/>
    <s v="May"/>
    <s v="Q2"/>
    <s v="Laptop"/>
    <s v="Electronics"/>
    <x v="3"/>
    <n v="219.52"/>
    <n v="3"/>
    <n v="49.88"/>
    <n v="169.64000000000001"/>
  </r>
  <r>
    <s v="ORD0268"/>
    <d v="2024-12-23T00:00:00"/>
    <s v="2024"/>
    <s v="December"/>
    <s v="Q4"/>
    <s v="Monitor"/>
    <s v="Electronics"/>
    <x v="1"/>
    <n v="3261.42"/>
    <n v="8"/>
    <n v="369.91"/>
    <n v="2891.51"/>
  </r>
  <r>
    <s v="ORD0269"/>
    <d v="2023-09-20T00:00:00"/>
    <s v="2023"/>
    <s v="September"/>
    <s v="Q3"/>
    <s v="Laptop"/>
    <s v="Electronics"/>
    <x v="0"/>
    <n v="3543.02"/>
    <n v="4"/>
    <n v="671.27"/>
    <n v="2871.75"/>
  </r>
  <r>
    <s v="ORD0270"/>
    <d v="2023-04-24T00:00:00"/>
    <s v="2023"/>
    <s v="April"/>
    <s v="Q2"/>
    <s v="Printer"/>
    <s v="Electronics"/>
    <x v="2"/>
    <n v="1179.53"/>
    <n v="5"/>
    <n v="205.36"/>
    <n v="974.17"/>
  </r>
  <r>
    <s v="ORD0271"/>
    <d v="2024-10-16T00:00:00"/>
    <s v="2024"/>
    <s v="October"/>
    <s v="Q4"/>
    <s v="Mouse"/>
    <s v="Accessories"/>
    <x v="2"/>
    <n v="4309.0200000000004"/>
    <n v="10"/>
    <n v="376.55"/>
    <n v="3932.4700000000003"/>
  </r>
  <r>
    <s v="ORD0272"/>
    <d v="2024-10-09T00:00:00"/>
    <s v="2024"/>
    <s v="October"/>
    <s v="Q4"/>
    <s v="Monitor"/>
    <s v="Electronics"/>
    <x v="0"/>
    <n v="5850.55"/>
    <n v="9"/>
    <n v="468.54"/>
    <n v="5382.01"/>
  </r>
  <r>
    <s v="ORD0273"/>
    <d v="2023-01-02T00:00:00"/>
    <s v="2023"/>
    <s v="January"/>
    <s v="Q1"/>
    <s v="Keyboard"/>
    <s v="Accessories"/>
    <x v="2"/>
    <n v="3921.04"/>
    <n v="10"/>
    <n v="295.2"/>
    <n v="3625.84"/>
  </r>
  <r>
    <s v="ORD0274"/>
    <d v="2024-06-20T00:00:00"/>
    <s v="2024"/>
    <s v="June"/>
    <s v="Q2"/>
    <s v="Mouse"/>
    <s v="Accessories"/>
    <x v="0"/>
    <n v="572.30999999999995"/>
    <n v="6"/>
    <n v="72.790000000000006"/>
    <n v="499.51999999999992"/>
  </r>
  <r>
    <s v="ORD0275"/>
    <d v="2024-02-04T00:00:00"/>
    <s v="2024"/>
    <s v="February"/>
    <s v="Q1"/>
    <s v="Headphones"/>
    <s v="Accessories"/>
    <x v="0"/>
    <n v="541.65"/>
    <n v="8"/>
    <n v="53.96"/>
    <n v="487.69"/>
  </r>
  <r>
    <s v="ORD0276"/>
    <d v="2023-01-17T00:00:00"/>
    <s v="2023"/>
    <s v="January"/>
    <s v="Q1"/>
    <s v="Keyboard"/>
    <s v="Accessories"/>
    <x v="3"/>
    <n v="4716.8500000000004"/>
    <n v="6"/>
    <n v="635.04999999999995"/>
    <n v="4081.8"/>
  </r>
  <r>
    <s v="ORD0277"/>
    <d v="2024-08-18T00:00:00"/>
    <s v="2024"/>
    <s v="August"/>
    <s v="Q3"/>
    <s v="Printer"/>
    <s v="Electronics"/>
    <x v="0"/>
    <n v="923.69"/>
    <n v="6"/>
    <n v="124.06"/>
    <n v="799.63000000000011"/>
  </r>
  <r>
    <s v="ORD0278"/>
    <d v="2024-12-02T00:00:00"/>
    <s v="2024"/>
    <s v="December"/>
    <s v="Q4"/>
    <s v="Keyboard"/>
    <s v="Accessories"/>
    <x v="1"/>
    <n v="8110.48"/>
    <n v="8"/>
    <n v="785.04"/>
    <n v="7325.44"/>
  </r>
  <r>
    <s v="ORD0279"/>
    <d v="2023-03-06T00:00:00"/>
    <s v="2023"/>
    <s v="March"/>
    <s v="Q1"/>
    <s v="Mouse"/>
    <s v="Accessories"/>
    <x v="1"/>
    <n v="461.39"/>
    <n v="8"/>
    <n v="48.85"/>
    <n v="412.53999999999996"/>
  </r>
  <r>
    <s v="ORD0280"/>
    <d v="2023-11-20T00:00:00"/>
    <s v="2023"/>
    <s v="November"/>
    <s v="Q4"/>
    <s v="Mouse"/>
    <s v="Accessories"/>
    <x v="0"/>
    <n v="3155.82"/>
    <n v="5"/>
    <n v="422"/>
    <n v="2733.82"/>
  </r>
  <r>
    <s v="ORD0281"/>
    <d v="2023-09-17T00:00:00"/>
    <s v="2023"/>
    <s v="September"/>
    <s v="Q3"/>
    <s v="Headphones"/>
    <s v="Accessories"/>
    <x v="2"/>
    <n v="714.77"/>
    <n v="1"/>
    <n v="607.57000000000005"/>
    <n v="107.19999999999993"/>
  </r>
  <r>
    <s v="ORD0282"/>
    <d v="2024-11-02T00:00:00"/>
    <s v="2024"/>
    <s v="November"/>
    <s v="Q4"/>
    <s v="Keyboard"/>
    <s v="Accessories"/>
    <x v="0"/>
    <n v="1985.73"/>
    <n v="6"/>
    <n v="233.11"/>
    <n v="1752.62"/>
  </r>
  <r>
    <s v="ORD0283"/>
    <d v="2024-03-26T00:00:00"/>
    <s v="2024"/>
    <s v="March"/>
    <s v="Q1"/>
    <s v="Monitor"/>
    <s v="Electronics"/>
    <x v="2"/>
    <n v="2339.06"/>
    <n v="7"/>
    <n v="284.45"/>
    <n v="2054.61"/>
  </r>
  <r>
    <s v="ORD0284"/>
    <d v="2024-01-12T00:00:00"/>
    <s v="2024"/>
    <s v="January"/>
    <s v="Q1"/>
    <s v="Printer"/>
    <s v="Electronics"/>
    <x v="2"/>
    <n v="2325.42"/>
    <n v="9"/>
    <n v="228.04"/>
    <n v="2097.38"/>
  </r>
  <r>
    <s v="ORD0285"/>
    <d v="2024-03-16T00:00:00"/>
    <s v="2024"/>
    <s v="March"/>
    <s v="Q1"/>
    <s v="Monitor"/>
    <s v="Electronics"/>
    <x v="0"/>
    <n v="9332.68"/>
    <n v="10"/>
    <n v="796.18"/>
    <n v="8536.5"/>
  </r>
  <r>
    <s v="ORD0286"/>
    <d v="2023-04-16T00:00:00"/>
    <s v="2023"/>
    <s v="April"/>
    <s v="Q2"/>
    <s v="Keyboard"/>
    <s v="Accessories"/>
    <x v="3"/>
    <n v="671.94"/>
    <n v="2"/>
    <n v="275.77999999999997"/>
    <n v="396.16000000000008"/>
  </r>
  <r>
    <s v="ORD0287"/>
    <d v="2023-06-20T00:00:00"/>
    <s v="2023"/>
    <s v="June"/>
    <s v="Q2"/>
    <s v="Monitor"/>
    <s v="Electronics"/>
    <x v="2"/>
    <n v="2628.92"/>
    <n v="8"/>
    <n v="294.20999999999998"/>
    <n v="2334.71"/>
  </r>
  <r>
    <s v="ORD0288"/>
    <d v="2023-10-09T00:00:00"/>
    <s v="2023"/>
    <s v="October"/>
    <s v="Q4"/>
    <s v="Keyboard"/>
    <s v="Accessories"/>
    <x v="2"/>
    <n v="106.41"/>
    <n v="1"/>
    <n v="78.53"/>
    <n v="27.879999999999995"/>
  </r>
  <r>
    <s v="ORD0289"/>
    <d v="2023-02-01T00:00:00"/>
    <s v="2023"/>
    <s v="February"/>
    <s v="Q1"/>
    <s v="Keyboard"/>
    <s v="Accessories"/>
    <x v="1"/>
    <n v="2805.38"/>
    <n v="3"/>
    <n v="681.96"/>
    <n v="2123.42"/>
  </r>
  <r>
    <s v="ORD0290"/>
    <d v="2023-05-10T00:00:00"/>
    <s v="2023"/>
    <s v="May"/>
    <s v="Q2"/>
    <s v="Monitor"/>
    <s v="Electronics"/>
    <x v="0"/>
    <n v="554.30999999999995"/>
    <n v="2"/>
    <n v="204.08"/>
    <n v="350.2299999999999"/>
  </r>
  <r>
    <s v="ORD0291"/>
    <d v="2024-08-03T00:00:00"/>
    <s v="2024"/>
    <s v="August"/>
    <s v="Q3"/>
    <s v="Keyboard"/>
    <s v="Accessories"/>
    <x v="2"/>
    <n v="674.8"/>
    <n v="1"/>
    <n v="491.97"/>
    <n v="182.82999999999993"/>
  </r>
  <r>
    <s v="ORD0292"/>
    <d v="2024-03-30T00:00:00"/>
    <s v="2024"/>
    <s v="March"/>
    <s v="Q1"/>
    <s v="Keyboard"/>
    <s v="Accessories"/>
    <x v="3"/>
    <n v="1226.94"/>
    <n v="2"/>
    <n v="467.66"/>
    <n v="759.28"/>
  </r>
  <r>
    <s v="ORD0293"/>
    <d v="2024-10-27T00:00:00"/>
    <s v="2024"/>
    <s v="October"/>
    <s v="Q4"/>
    <s v="Monitor"/>
    <s v="Electronics"/>
    <x v="3"/>
    <n v="1229.56"/>
    <n v="5"/>
    <n v="214.7"/>
    <n v="1014.8599999999999"/>
  </r>
  <r>
    <s v="ORD0294"/>
    <d v="2024-05-26T00:00:00"/>
    <s v="2024"/>
    <s v="May"/>
    <s v="Q2"/>
    <s v="Printer"/>
    <s v="Electronics"/>
    <x v="1"/>
    <n v="3837.1"/>
    <n v="9"/>
    <n v="321.85000000000002"/>
    <n v="3515.25"/>
  </r>
  <r>
    <s v="ORD0295"/>
    <d v="2024-12-21T00:00:00"/>
    <s v="2024"/>
    <s v="December"/>
    <s v="Q4"/>
    <s v="Keyboard"/>
    <s v="Accessories"/>
    <x v="3"/>
    <n v="2015.62"/>
    <n v="8"/>
    <n v="187.36"/>
    <n v="1828.2599999999998"/>
  </r>
  <r>
    <s v="ORD0296"/>
    <d v="2023-07-24T00:00:00"/>
    <s v="2023"/>
    <s v="July"/>
    <s v="Q3"/>
    <s v="Printer"/>
    <s v="Electronics"/>
    <x v="2"/>
    <n v="284.37"/>
    <n v="2"/>
    <n v="125.87"/>
    <n v="158.5"/>
  </r>
  <r>
    <s v="ORD0297"/>
    <d v="2023-03-31T00:00:00"/>
    <s v="2023"/>
    <s v="March"/>
    <s v="Q1"/>
    <s v="Mouse"/>
    <s v="Accessories"/>
    <x v="2"/>
    <n v="4491.2"/>
    <n v="6"/>
    <n v="540.91999999999996"/>
    <n v="3950.2799999999997"/>
  </r>
  <r>
    <s v="ORD0298"/>
    <d v="2023-11-04T00:00:00"/>
    <s v="2023"/>
    <s v="November"/>
    <s v="Q4"/>
    <s v="Headphones"/>
    <s v="Accessories"/>
    <x v="3"/>
    <n v="2538.2800000000002"/>
    <n v="3"/>
    <n v="575.21"/>
    <n v="1963.0700000000002"/>
  </r>
  <r>
    <s v="ORD0299"/>
    <d v="2024-01-06T00:00:00"/>
    <s v="2024"/>
    <s v="January"/>
    <s v="Q1"/>
    <s v="Printer"/>
    <s v="Electronics"/>
    <x v="1"/>
    <n v="2620.85"/>
    <n v="9"/>
    <n v="194.91"/>
    <n v="2425.94"/>
  </r>
  <r>
    <s v="ORD0300"/>
    <d v="2024-05-20T00:00:00"/>
    <s v="2024"/>
    <s v="May"/>
    <s v="Q2"/>
    <s v="Mouse"/>
    <s v="Accessories"/>
    <x v="1"/>
    <n v="400.67"/>
    <n v="1"/>
    <n v="301.5"/>
    <n v="99.1700000000000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0EEB54-ABF2-42A8-943E-BCE3BF7978AE}" name="PivotTable7"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H21:K27" firstHeaderRow="1" firstDataRow="2" firstDataCol="1"/>
  <pivotFields count="15">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pivotField showAll="0"/>
    <pivotField numFmtId="165" showAll="0"/>
    <pivotField showAll="0"/>
    <pivotField dataField="1" numFmtId="165" showAll="0"/>
    <pivotField axis="axisRow" showAll="0">
      <items count="5">
        <item x="0"/>
        <item x="2"/>
        <item x="1"/>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t="grand">
      <x/>
    </i>
  </rowItems>
  <colFields count="1">
    <field x="3"/>
  </colFields>
  <colItems count="3">
    <i>
      <x/>
    </i>
    <i>
      <x v="1"/>
    </i>
    <i t="grand">
      <x/>
    </i>
  </colItems>
  <dataFields count="1">
    <dataField name="Sum of Cost"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25F909-00D7-45F9-B0A0-E8B5B735F818}" name="PivotTable5"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H3:K9" firstHeaderRow="1" firstDataRow="2" firstDataCol="1"/>
  <pivotFields count="15">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pivotField showAll="0"/>
    <pivotField dataField="1" numFmtId="165" showAll="0"/>
    <pivotField showAll="0"/>
    <pivotField numFmtId="165" showAll="0"/>
    <pivotField axis="axisRow" showAll="0">
      <items count="5">
        <item x="0"/>
        <item x="2"/>
        <item x="1"/>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t="grand">
      <x/>
    </i>
  </rowItems>
  <colFields count="1">
    <field x="3"/>
  </colFields>
  <colItems count="3">
    <i>
      <x/>
    </i>
    <i>
      <x v="1"/>
    </i>
    <i t="grand">
      <x/>
    </i>
  </colItems>
  <dataFields count="1">
    <dataField name="Sum of Sales"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A7299F-2B64-4506-BD8E-C8153FB9FD4D}" name="PivotTable4"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2">
  <location ref="A50:D56" firstHeaderRow="1" firstDataRow="2" firstDataCol="1"/>
  <pivotFields count="15">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pivotField axis="axisRow" showAll="0">
      <items count="5">
        <item x="0"/>
        <item x="3"/>
        <item x="2"/>
        <item x="1"/>
        <item t="default"/>
      </items>
    </pivotField>
    <pivotField dataField="1" numFmtId="165" showAll="0"/>
    <pivotField showAll="0"/>
    <pivotField numFmtId="165"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outh" fld="7" baseField="0" baseItem="0"/>
  </dataField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0"/>
          </reference>
        </references>
      </pivotArea>
    </chartFormat>
    <chartFormat chart="12" format="3" series="1">
      <pivotArea type="data" outline="0" fieldPosition="0">
        <references count="2">
          <reference field="4294967294" count="1" selected="0">
            <x v="0"/>
          </reference>
          <reference field="3" count="1" selected="0">
            <x v="1"/>
          </reference>
        </references>
      </pivotArea>
    </chartFormat>
    <chartFormat chart="14" format="4" series="1">
      <pivotArea type="data" outline="0" fieldPosition="0">
        <references count="2">
          <reference field="4294967294" count="1" selected="0">
            <x v="0"/>
          </reference>
          <reference field="3" count="1" selected="0">
            <x v="0"/>
          </reference>
        </references>
      </pivotArea>
    </chartFormat>
    <chartFormat chart="1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51A42A-A192-4DB6-A5EB-7FD539078707}" name="PivotTable8"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H30:K36" firstHeaderRow="1" firstDataRow="2" firstDataCol="1"/>
  <pivotFields count="15">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pivotField showAll="0"/>
    <pivotField numFmtId="165" showAll="0"/>
    <pivotField showAll="0"/>
    <pivotField numFmtId="165" showAll="0"/>
    <pivotField axis="axisRow" showAll="0">
      <items count="5">
        <item x="0"/>
        <item x="2"/>
        <item x="1"/>
        <item x="3"/>
        <item t="default"/>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t="grand">
      <x/>
    </i>
  </rowItems>
  <colFields count="1">
    <field x="3"/>
  </colFields>
  <colItems count="3">
    <i>
      <x/>
    </i>
    <i>
      <x v="1"/>
    </i>
    <i t="grand">
      <x/>
    </i>
  </colItems>
  <dataFields count="1">
    <dataField name="Sum of Profi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8810BA-E703-4E5A-8603-7E72FC518907}" name="PivotTable3"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38:D46" firstHeaderRow="1" firstDataRow="2" firstDataCol="1"/>
  <pivotFields count="15">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axis="axisRow" showAll="0">
      <items count="7">
        <item x="5"/>
        <item x="4"/>
        <item x="1"/>
        <item x="3"/>
        <item x="2"/>
        <item x="0"/>
        <item t="default"/>
      </items>
    </pivotField>
    <pivotField showAll="0"/>
    <pivotField showAll="0"/>
    <pivotField dataField="1" numFmtId="165" showAll="0"/>
    <pivotField showAll="0"/>
    <pivotField numFmtId="165"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Sales" fld="7" baseField="0" baseItem="0"/>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83E115-0CE2-437F-B89B-6A86069750B7}" name="PivotTable2"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20:D34" firstHeaderRow="1" firstDataRow="2" firstDataCol="1"/>
  <pivotFields count="15">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sd="0" x="0"/>
        <item x="1"/>
        <item t="default"/>
      </items>
    </pivotField>
    <pivotField showAll="0"/>
    <pivotField showAll="0"/>
    <pivotField showAll="0"/>
    <pivotField dataField="1" numFmtId="165" showAll="0"/>
    <pivotField showAll="0"/>
    <pivotField numFmtId="165"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dataFields>
  <chartFormats count="4">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52B099-CB7A-4AD7-8D0D-D950A4E7C296}" name="PivotTable1" cacheId="2" applyNumberFormats="0" applyBorderFormats="0" applyFontFormats="0" applyPatternFormats="0" applyAlignmentFormats="0" applyWidthHeightFormats="1" dataCaption="Values" updatedVersion="8" minRefreshableVersion="3" useAutoFormatting="1" itemPrintTitles="1" createdVersion="6" indent="0" showHeaders="0" outline="1" outlineData="1" multipleFieldFilters="0">
  <location ref="A3:E6" firstHeaderRow="0" firstDataRow="1" firstDataCol="1"/>
  <pivotFields count="15">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pivotField showAll="0"/>
    <pivotField dataField="1" numFmtId="165" showAll="0"/>
    <pivotField dataField="1" showAll="0"/>
    <pivotField dataField="1" numFmtId="165"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1" baseField="0" baseItem="0" numFmtId="165"/>
  </dataFields>
  <formats count="1">
    <format dxfId="3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11FB23-1028-47DD-9192-5BC1D993E816}" name="PivotTable6"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H12:K18" firstHeaderRow="1" firstDataRow="2" firstDataCol="1"/>
  <pivotFields count="15">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pivotField showAll="0"/>
    <pivotField numFmtId="165" showAll="0"/>
    <pivotField dataField="1" showAll="0"/>
    <pivotField numFmtId="165" showAll="0"/>
    <pivotField axis="axisRow" showAll="0">
      <items count="5">
        <item x="0"/>
        <item x="2"/>
        <item x="1"/>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t="grand">
      <x/>
    </i>
  </rowItems>
  <colFields count="1">
    <field x="3"/>
  </colFields>
  <colItems count="3">
    <i>
      <x/>
    </i>
    <i>
      <x v="1"/>
    </i>
    <i t="grand">
      <x/>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A6EF92-C8B1-482B-B4CF-E670000183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6:F9" firstHeaderRow="1" firstDataRow="1" firstDataCol="1"/>
  <pivotFields count="12">
    <pivotField showAll="0"/>
    <pivotField numFmtId="14" showAll="0"/>
    <pivotField axis="axisRow" showAll="0">
      <items count="3">
        <item sd="0" x="0"/>
        <item sd="0" x="1"/>
        <item t="default"/>
      </items>
    </pivotField>
    <pivotField axis="axisRow" showAll="0">
      <items count="13">
        <item x="0"/>
        <item x="5"/>
        <item x="10"/>
        <item x="3"/>
        <item x="8"/>
        <item x="11"/>
        <item x="2"/>
        <item x="1"/>
        <item x="6"/>
        <item x="7"/>
        <item x="9"/>
        <item x="4"/>
        <item t="default"/>
      </items>
    </pivotField>
    <pivotField showAll="0"/>
    <pivotField showAll="0"/>
    <pivotField showAll="0"/>
    <pivotField showAll="0"/>
    <pivotField dataField="1" numFmtId="166" showAll="0"/>
    <pivotField numFmtId="1" showAll="0"/>
    <pivotField numFmtId="166" showAll="0"/>
    <pivotField numFmtId="166" showAll="0"/>
  </pivotFields>
  <rowFields count="2">
    <field x="2"/>
    <field x="3"/>
  </rowFields>
  <rowItems count="3">
    <i>
      <x/>
    </i>
    <i>
      <x v="1"/>
    </i>
    <i t="grand">
      <x/>
    </i>
  </rowItems>
  <colItems count="1">
    <i/>
  </colItems>
  <dataFields count="1">
    <dataField name="Sum of Sales" fld="8" baseField="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598012-FD47-44B3-B577-AAB6A2DF64E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9:E54" firstHeaderRow="0" firstDataRow="1" firstDataCol="1"/>
  <pivotFields count="12">
    <pivotField showAll="0"/>
    <pivotField numFmtId="14" showAll="0"/>
    <pivotField showAll="0"/>
    <pivotField showAll="0"/>
    <pivotField axis="axisRow" showAll="0">
      <items count="5">
        <item x="0"/>
        <item x="2"/>
        <item x="1"/>
        <item x="3"/>
        <item t="default"/>
      </items>
    </pivotField>
    <pivotField showAll="0"/>
    <pivotField showAll="0"/>
    <pivotField showAll="0"/>
    <pivotField dataField="1" numFmtId="166" showAll="0"/>
    <pivotField numFmtId="1" showAll="0"/>
    <pivotField dataField="1" numFmtId="166" showAll="0"/>
    <pivotField dataField="1" numFmtId="166" showAll="0"/>
  </pivotFields>
  <rowFields count="1">
    <field x="4"/>
  </rowFields>
  <rowItems count="5">
    <i>
      <x/>
    </i>
    <i>
      <x v="1"/>
    </i>
    <i>
      <x v="2"/>
    </i>
    <i>
      <x v="3"/>
    </i>
    <i t="grand">
      <x/>
    </i>
  </rowItems>
  <colFields count="1">
    <field x="-2"/>
  </colFields>
  <colItems count="3">
    <i>
      <x/>
    </i>
    <i i="1">
      <x v="1"/>
    </i>
    <i i="2">
      <x v="2"/>
    </i>
  </colItems>
  <dataFields count="3">
    <dataField name="Sum of Cost" fld="10" baseField="0" baseItem="0" numFmtId="166"/>
    <dataField name="Sum of Sales" fld="8" baseField="0" baseItem="0" numFmtId="166"/>
    <dataField name="Sum of Profit" fld="11" baseField="0" baseItem="0" numFmtId="166"/>
  </dataFields>
  <chartFormats count="10">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1"/>
          </reference>
          <reference field="4" count="1" selected="0">
            <x v="0"/>
          </reference>
        </references>
      </pivotArea>
    </chartFormat>
    <chartFormat chart="3" format="10">
      <pivotArea type="data" outline="0" fieldPosition="0">
        <references count="2">
          <reference field="4294967294" count="1" selected="0">
            <x v="2"/>
          </reference>
          <reference field="4" count="1" selected="0">
            <x v="0"/>
          </reference>
        </references>
      </pivotArea>
    </chartFormat>
    <chartFormat chart="3" format="11">
      <pivotArea type="data" outline="0" fieldPosition="0">
        <references count="2">
          <reference field="4294967294" count="1" selected="0">
            <x v="1"/>
          </reference>
          <reference field="4" count="1" selected="0">
            <x v="2"/>
          </reference>
        </references>
      </pivotArea>
    </chartFormat>
    <chartFormat chart="3" format="12">
      <pivotArea type="data" outline="0" fieldPosition="0">
        <references count="2">
          <reference field="4294967294" count="1" selected="0">
            <x v="2"/>
          </reference>
          <reference field="4" count="1" selected="0">
            <x v="1"/>
          </reference>
        </references>
      </pivotArea>
    </chartFormat>
    <chartFormat chart="3" format="13">
      <pivotArea type="data" outline="0" fieldPosition="0">
        <references count="2">
          <reference field="4294967294" count="1" selected="0">
            <x v="2"/>
          </reference>
          <reference field="4" count="1" selected="0">
            <x v="3"/>
          </reference>
        </references>
      </pivotArea>
    </chartFormat>
    <chartFormat chart="3" format="14">
      <pivotArea type="data" outline="0" fieldPosition="0">
        <references count="2">
          <reference field="4294967294" count="1" selected="0">
            <x v="2"/>
          </reference>
          <reference field="4" count="1" selected="0">
            <x v="2"/>
          </reference>
        </references>
      </pivotArea>
    </chartFormat>
    <chartFormat chart="3" format="1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3474D0-A8FA-47CA-AEF7-A3A80EDCE09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4:C43" firstHeaderRow="1" firstDataRow="1" firstDataCol="1"/>
  <pivotFields count="12">
    <pivotField axis="axisRow"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umFmtId="14" showAll="0"/>
    <pivotField showAll="0"/>
    <pivotField showAll="0"/>
    <pivotField showAll="0"/>
    <pivotField axis="axisRow" showAll="0">
      <items count="7">
        <item sd="0" x="5"/>
        <item sd="0" x="4"/>
        <item sd="0" x="1"/>
        <item sd="0" x="3"/>
        <item sd="0" x="2"/>
        <item sd="0" x="0"/>
        <item t="default" sd="0"/>
      </items>
    </pivotField>
    <pivotField axis="axisRow" showAll="0">
      <items count="3">
        <item x="1"/>
        <item x="0"/>
        <item t="default"/>
      </items>
    </pivotField>
    <pivotField showAll="0"/>
    <pivotField numFmtId="166" showAll="0"/>
    <pivotField numFmtId="1" showAll="0"/>
    <pivotField numFmtId="166" showAll="0"/>
    <pivotField dataField="1" numFmtId="166" showAll="0"/>
  </pivotFields>
  <rowFields count="3">
    <field x="6"/>
    <field x="5"/>
    <field x="0"/>
  </rowFields>
  <rowItems count="9">
    <i>
      <x/>
    </i>
    <i r="1">
      <x/>
    </i>
    <i r="1">
      <x v="1"/>
    </i>
    <i r="1">
      <x v="4"/>
    </i>
    <i>
      <x v="1"/>
    </i>
    <i r="1">
      <x v="2"/>
    </i>
    <i r="1">
      <x v="3"/>
    </i>
    <i r="1">
      <x v="5"/>
    </i>
    <i t="grand">
      <x/>
    </i>
  </rowItems>
  <colItems count="1">
    <i/>
  </colItems>
  <dataFields count="1">
    <dataField name="Sum of Profit" fld="11" baseField="0"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7516F7-55E0-4E62-986E-7D53BA980FE1}"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0:T27" firstHeaderRow="1" firstDataRow="1" firstDataCol="0"/>
  <pivotFields count="12">
    <pivotField showAll="0"/>
    <pivotField numFmtId="14" showAll="0"/>
    <pivotField showAll="0"/>
    <pivotField showAll="0"/>
    <pivotField showAll="0"/>
    <pivotField showAll="0"/>
    <pivotField showAll="0"/>
    <pivotField showAll="0"/>
    <pivotField numFmtId="166" showAll="0"/>
    <pivotField numFmtId="1" showAll="0"/>
    <pivotField numFmtId="166" showAll="0"/>
    <pivotField numFmtId="166"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9E18B4-F701-4410-B216-8E645921006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9:G24" firstHeaderRow="1" firstDataRow="1" firstDataCol="1"/>
  <pivotFields count="12">
    <pivotField showAll="0"/>
    <pivotField numFmtId="14" showAll="0"/>
    <pivotField showAll="0"/>
    <pivotField showAll="0"/>
    <pivotField showAll="0"/>
    <pivotField showAll="0"/>
    <pivotField showAll="0"/>
    <pivotField axis="axisRow" showAll="0">
      <items count="5">
        <item x="0"/>
        <item x="3"/>
        <item x="2"/>
        <item x="1"/>
        <item t="default"/>
      </items>
    </pivotField>
    <pivotField dataField="1" numFmtId="166" showAll="0"/>
    <pivotField numFmtId="1" showAll="0"/>
    <pivotField numFmtId="166" showAll="0"/>
    <pivotField numFmtId="166" showAll="0"/>
  </pivotFields>
  <rowFields count="1">
    <field x="7"/>
  </rowFields>
  <rowItems count="5">
    <i>
      <x/>
    </i>
    <i>
      <x v="1"/>
    </i>
    <i>
      <x v="2"/>
    </i>
    <i>
      <x v="3"/>
    </i>
    <i t="grand">
      <x/>
    </i>
  </rowItems>
  <colItems count="1">
    <i/>
  </colItems>
  <dataFields count="1">
    <dataField name="Sum of Sales" fld="8" baseField="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F473B2-9DD0-4595-9BB7-45C23BDA82F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C22" firstHeaderRow="0" firstDataRow="1" firstDataCol="1"/>
  <pivotFields count="12">
    <pivotField showAll="0"/>
    <pivotField numFmtId="14" showAll="0"/>
    <pivotField showAll="0"/>
    <pivotField showAll="0"/>
    <pivotField axis="axisRow" showAll="0">
      <items count="5">
        <item x="0"/>
        <item x="2"/>
        <item x="1"/>
        <item x="3"/>
        <item t="default"/>
      </items>
    </pivotField>
    <pivotField showAll="0"/>
    <pivotField showAll="0"/>
    <pivotField showAll="0"/>
    <pivotField dataField="1" numFmtId="166" showAll="0"/>
    <pivotField numFmtId="1" showAll="0"/>
    <pivotField numFmtId="166" showAll="0"/>
    <pivotField dataField="1" numFmtId="166" showAll="0"/>
  </pivotFields>
  <rowFields count="1">
    <field x="4"/>
  </rowFields>
  <rowItems count="5">
    <i>
      <x/>
    </i>
    <i>
      <x v="1"/>
    </i>
    <i>
      <x v="2"/>
    </i>
    <i>
      <x v="3"/>
    </i>
    <i t="grand">
      <x/>
    </i>
  </rowItems>
  <colFields count="1">
    <field x="-2"/>
  </colFields>
  <colItems count="2">
    <i>
      <x/>
    </i>
    <i i="1">
      <x v="1"/>
    </i>
  </colItems>
  <dataFields count="2">
    <dataField name="Sum of Profit" fld="11" baseField="0" baseItem="0" numFmtId="166"/>
    <dataField name="Sum of Sales" fld="8" baseField="0" baseItem="0" numFmtId="166"/>
  </dataFields>
  <chartFormats count="10">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1"/>
          </reference>
          <reference field="4" count="1" selected="0">
            <x v="1"/>
          </reference>
        </references>
      </pivotArea>
    </chartFormat>
    <chartFormat chart="3" format="10">
      <pivotArea type="data" outline="0" fieldPosition="0">
        <references count="2">
          <reference field="4294967294" count="1" selected="0">
            <x v="1"/>
          </reference>
          <reference field="4" count="1" selected="0">
            <x v="3"/>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1"/>
          </reference>
          <reference field="4" count="1" selected="0">
            <x v="2"/>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3FDD006-88E8-48D7-A96E-AA30A3F0AC09}" name="PivotTable3"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L13:M24" firstHeaderRow="1" firstDataRow="1" firstDataCol="1"/>
  <pivotFields count="15">
    <pivotField showAll="0"/>
    <pivotField numFmtId="1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showAll="0"/>
    <pivotField showAll="0"/>
    <pivotField axis="axisRow" showAll="0">
      <items count="3">
        <item x="1"/>
        <item x="0"/>
        <item t="default"/>
      </items>
    </pivotField>
    <pivotField showAll="0"/>
    <pivotField dataField="1" numFmtId="165" showAll="0"/>
    <pivotField showAll="0"/>
    <pivotField numFmtId="165" showAll="0"/>
    <pivotField axis="axisRow" showAll="0">
      <items count="5">
        <item x="0"/>
        <item x="2"/>
        <item x="1"/>
        <item x="3"/>
        <item t="default"/>
      </items>
    </pivotField>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5"/>
    <field x="10"/>
  </rowFields>
  <rowItems count="11">
    <i>
      <x/>
    </i>
    <i r="1">
      <x/>
    </i>
    <i r="1">
      <x v="1"/>
    </i>
    <i r="1">
      <x v="2"/>
    </i>
    <i r="1">
      <x v="3"/>
    </i>
    <i>
      <x v="1"/>
    </i>
    <i r="1">
      <x/>
    </i>
    <i r="1">
      <x v="1"/>
    </i>
    <i r="1">
      <x v="2"/>
    </i>
    <i r="1">
      <x v="3"/>
    </i>
    <i t="grand">
      <x/>
    </i>
  </rowItems>
  <colItems count="1">
    <i/>
  </colItems>
  <dataFields count="1">
    <dataField name="Sum of Sales" fld="7" baseField="0" baseItem="0" numFmtId="165"/>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5" count="1" selected="0">
            <x v="0"/>
          </reference>
          <reference field="10" count="1" selected="0">
            <x v="3"/>
          </reference>
        </references>
      </pivotArea>
    </chartFormat>
    <chartFormat chart="2" format="4">
      <pivotArea type="data" outline="0" fieldPosition="0">
        <references count="3">
          <reference field="4294967294" count="1" selected="0">
            <x v="0"/>
          </reference>
          <reference field="5" count="1" selected="0">
            <x v="0"/>
          </reference>
          <reference field="10" count="1" selected="0">
            <x v="0"/>
          </reference>
        </references>
      </pivotArea>
    </chartFormat>
    <chartFormat chart="2" format="5">
      <pivotArea type="data" outline="0" fieldPosition="0">
        <references count="3">
          <reference field="4294967294" count="1" selected="0">
            <x v="0"/>
          </reference>
          <reference field="5" count="1" selected="0">
            <x v="1"/>
          </reference>
          <reference field="10" count="1" selected="0">
            <x v="2"/>
          </reference>
        </references>
      </pivotArea>
    </chartFormat>
    <chartFormat chart="2" format="6">
      <pivotArea type="data" outline="0" fieldPosition="0">
        <references count="3">
          <reference field="4294967294" count="1" selected="0">
            <x v="0"/>
          </reference>
          <reference field="5" count="1" selected="0">
            <x v="1"/>
          </reference>
          <reference field="10" count="1" selected="0">
            <x v="1"/>
          </reference>
        </references>
      </pivotArea>
    </chartFormat>
    <chartFormat chart="2" format="7">
      <pivotArea type="data" outline="0" fieldPosition="0">
        <references count="3">
          <reference field="4294967294" count="1" selected="0">
            <x v="0"/>
          </reference>
          <reference field="5" count="1" selected="0">
            <x v="1"/>
          </reference>
          <reference field="10" count="1" selected="0">
            <x v="0"/>
          </reference>
        </references>
      </pivotArea>
    </chartFormat>
    <chartFormat chart="2" format="8">
      <pivotArea type="data" outline="0" fieldPosition="0">
        <references count="3">
          <reference field="4294967294" count="1" selected="0">
            <x v="0"/>
          </reference>
          <reference field="5"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43AFBE-86B0-4707-81BE-F05A8ABE99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2">
    <pivotField showAll="0"/>
    <pivotField numFmtId="14" showAll="0"/>
    <pivotField axis="axisRow" showAll="0">
      <items count="3">
        <item sd="0" x="0"/>
        <item sd="0" x="1"/>
        <item t="default"/>
      </items>
    </pivotField>
    <pivotField axis="axisRow" showAll="0">
      <items count="13">
        <item x="0"/>
        <item x="5"/>
        <item x="10"/>
        <item x="3"/>
        <item x="8"/>
        <item x="11"/>
        <item x="2"/>
        <item x="1"/>
        <item x="6"/>
        <item x="7"/>
        <item x="9"/>
        <item x="4"/>
        <item t="default"/>
      </items>
    </pivotField>
    <pivotField showAll="0"/>
    <pivotField showAll="0"/>
    <pivotField showAll="0"/>
    <pivotField showAll="0"/>
    <pivotField dataField="1" numFmtId="166" showAll="0"/>
    <pivotField numFmtId="1" showAll="0"/>
    <pivotField numFmtId="166" showAll="0"/>
    <pivotField numFmtId="166" showAll="0"/>
  </pivotFields>
  <rowFields count="2">
    <field x="2"/>
    <field x="3"/>
  </rowFields>
  <rowItems count="3">
    <i>
      <x/>
    </i>
    <i>
      <x v="1"/>
    </i>
    <i t="grand">
      <x/>
    </i>
  </rowItems>
  <colItems count="1">
    <i/>
  </colItems>
  <dataFields count="1">
    <dataField name="Sum of Sales" fld="8" baseField="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38B390-C854-411E-A717-F1696CB2A8AF}" sourceName="Year">
  <extLst>
    <x:ext xmlns:x15="http://schemas.microsoft.com/office/spreadsheetml/2010/11/main" uri="{2F2917AC-EB37-4324-AD4E-5DD8C200BD13}">
      <x15:tableSlicerCache tableId="3" column="10" crossFilter="none"/>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08626A3-50F1-4F2C-8BF6-CAF3615E954A}" sourceName="Month">
  <extLst>
    <x:ext xmlns:x15="http://schemas.microsoft.com/office/spreadsheetml/2010/11/main" uri="{2F2917AC-EB37-4324-AD4E-5DD8C200BD13}">
      <x15:tableSlicerCache tableId="3" column="11" crossFilter="none"/>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D3453A-CF9C-4353-A0CC-6EFB72302B5B}" sourceName="Region">
  <extLst>
    <x:ext xmlns:x15="http://schemas.microsoft.com/office/spreadsheetml/2010/11/main" uri="{2F2917AC-EB37-4324-AD4E-5DD8C200BD13}">
      <x15:tableSlicerCache tableId="3" column="5" customListSort="0" crossFilter="none"/>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5107481-6A64-4DC5-AF37-A33304922285}" cache="Slicer_Year" caption="Year" style="Slicer Style 6" rowHeight="241300"/>
  <slicer name="Month" xr10:uid="{1EC1551C-EC70-407F-BFA3-D3029ADFCDA3}" cache="Slicer_Month" caption="Month" style="Slicer Style 6" rowHeight="241300"/>
  <slicer name="Region" xr10:uid="{60809753-AEFC-484C-B6DE-5290134A322F}" cache="Slicer_Region" caption="Region" style="Slicer Style 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6C0EEE-706D-4440-89FA-EE7EECBE7FDB}" name="Table1" displayName="Table1" ref="A1:H301" totalsRowShown="0" headerRowDxfId="41" headerRowBorderDxfId="40" tableBorderDxfId="39">
  <autoFilter ref="A1:H301" xr:uid="{D38BE655-5689-49E6-99F2-D973E1242409}"/>
  <tableColumns count="8">
    <tableColumn id="1" xr3:uid="{88BE2F8D-119E-41A4-A54D-033A190EE6D5}" name="OrderID"/>
    <tableColumn id="2" xr3:uid="{6C0BF8B4-A355-419C-9C87-403ACD949422}" name="Date" dataDxfId="38"/>
    <tableColumn id="3" xr3:uid="{C9789F8A-6FD0-4F01-B603-21D195DB309A}" name="Product"/>
    <tableColumn id="4" xr3:uid="{50DA1E03-6610-4B20-B8F6-6CDCD9FCCBBC}" name="Category"/>
    <tableColumn id="5" xr3:uid="{0B810FF5-C502-4320-AC70-E9C5313CEEDE}" name="Region"/>
    <tableColumn id="6" xr3:uid="{AAE3B5D6-0137-40F3-A0AB-6B6DB916AB80}" name="Sales"/>
    <tableColumn id="7" xr3:uid="{2129A2F1-C49F-42DC-911B-7323D44B84EC}" name="Quantity"/>
    <tableColumn id="8" xr3:uid="{E016383E-92D8-4DD1-9C6D-844351A6EE8F}" name="Cos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4FB40D-8EBC-4C5F-A7CD-4238CEEC6C43}" name="Table13" displayName="Table13" ref="A1:K301" totalsRowShown="0" headerRowDxfId="36" headerRowBorderDxfId="35" tableBorderDxfId="34">
  <autoFilter ref="A1:K301" xr:uid="{D38BE655-5689-49E6-99F2-D973E1242409}"/>
  <tableColumns count="11">
    <tableColumn id="1" xr3:uid="{45817879-A07A-44BD-A988-D6EBAB5A73D5}" name="OrderID" dataDxfId="33"/>
    <tableColumn id="2" xr3:uid="{C948AE5E-AEDC-423F-8ED1-42D8DA435B10}" name="Date" dataDxfId="32"/>
    <tableColumn id="10" xr3:uid="{9B3E749B-7CD8-4788-B37B-2A9EBF8B7BA1}" name="MONTH" dataDxfId="31">
      <calculatedColumnFormula>TEXT(Table13[[#This Row],[Date]],"MMM")</calculatedColumnFormula>
    </tableColumn>
    <tableColumn id="9" xr3:uid="{0C1ADB7C-57EE-421B-AAB9-11B2A6BB6FB2}" name="YEAR" dataDxfId="30">
      <calculatedColumnFormula>TEXT(Table13[[#This Row],[Date]],"YYYY")</calculatedColumnFormula>
    </tableColumn>
    <tableColumn id="3" xr3:uid="{30EEE5F5-CA7D-43E0-9C39-279D4AA126F7}" name="Product" dataDxfId="29"/>
    <tableColumn id="4" xr3:uid="{3AD22780-9109-4687-A3FF-93269AF14D7A}" name="Category" dataDxfId="28"/>
    <tableColumn id="5" xr3:uid="{7A87B534-44BF-4885-8636-324EFB80D086}" name="Region" dataDxfId="27"/>
    <tableColumn id="6" xr3:uid="{C787D3C9-238D-4B84-9AE5-F44BD3E70853}" name="Sales" dataDxfId="26"/>
    <tableColumn id="7" xr3:uid="{84065961-56C0-43D7-8654-319D2549714A}" name="Quantity"/>
    <tableColumn id="8" xr3:uid="{855DF1B4-5387-45D9-8920-A69D6A4DC7DF}" name="Cost" dataDxfId="25"/>
    <tableColumn id="12" xr3:uid="{EDAD223E-F02A-4FF0-819A-86D6AC0A2A2F}" name="Quarter" dataDxfId="24">
      <calculatedColumnFormula>"Q"&amp;ROUNDUP(MONTH(Table13[[#This Row],[Date]])/3,0)</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388E34-3125-4790-B10D-C901C6C782E5}" name="Table14" displayName="Table14" ref="A1:L302" totalsRowCount="1" headerRowDxfId="23" headerRowBorderDxfId="22" tableBorderDxfId="21">
  <autoFilter ref="A1:L301" xr:uid="{D38BE655-5689-49E6-99F2-D973E1242409}"/>
  <tableColumns count="12">
    <tableColumn id="1" xr3:uid="{43E421BE-38E2-48E5-B29F-72CD54801677}" name="OrderID"/>
    <tableColumn id="2" xr3:uid="{A5005C50-6989-4B4A-9570-6781C1407A31}" name="Date" dataDxfId="20" totalsRowDxfId="19"/>
    <tableColumn id="10" xr3:uid="{AB4A3A9B-8943-48ED-A740-7AF00AC70A91}" name="Year" dataDxfId="18" totalsRowDxfId="17">
      <calculatedColumnFormula>TEXT(Table14[[#This Row],[Date]],"YYY")</calculatedColumnFormula>
    </tableColumn>
    <tableColumn id="11" xr3:uid="{60F2AE66-8ED4-44C1-8C73-011F2113EDD0}" name="Month" dataDxfId="16" totalsRowDxfId="15">
      <calculatedColumnFormula>TEXT(Table14[[#This Row],[Date]],"MMMM")</calculatedColumnFormula>
    </tableColumn>
    <tableColumn id="12" xr3:uid="{E9CA6E64-6F56-4E01-BFA4-D44F301498A6}" name="Quarter" dataDxfId="14" totalsRowDxfId="13">
      <calculatedColumnFormula>"Q" &amp;ROUNDUP(MONTH(Table14[[#This Row],[Date]])/3,0)</calculatedColumnFormula>
    </tableColumn>
    <tableColumn id="3" xr3:uid="{A51405DE-2318-45D6-94F7-0EB85B639B43}" name="Product" dataDxfId="12" totalsRowDxfId="11"/>
    <tableColumn id="4" xr3:uid="{9F0D139B-DFD8-4A46-82E4-B71ED762F08A}" name="Category" dataDxfId="10" totalsRowDxfId="9"/>
    <tableColumn id="5" xr3:uid="{0995C365-CD0B-4B88-96C7-50FA1022DFC7}" name="Region" dataDxfId="8" totalsRowDxfId="7"/>
    <tableColumn id="6" xr3:uid="{CB50B0A9-24AC-4656-A936-BAF768193E7A}" name="Sales" dataDxfId="6" totalsRowDxfId="5"/>
    <tableColumn id="7" xr3:uid="{0733A9DB-E73A-4A55-BA70-5C3F05828071}" name="Quantity" totalsRowFunction="custom" dataDxfId="4" totalsRowDxfId="3">
      <totalsRowFormula>SUM(J2:J301)</totalsRowFormula>
    </tableColumn>
    <tableColumn id="8" xr3:uid="{FB0E82A0-AE1D-47B8-B3F2-FD5841DD2419}" name="Cost" dataDxfId="2" totalsRowDxfId="1"/>
    <tableColumn id="14" xr3:uid="{461002A0-5C25-4D85-AC15-75573AC4DFDD}" name="Profit" dataDxfId="0">
      <calculatedColumnFormula>Table14[[#This Row],[Sales]]-Table14[[#This Row],[Cost]]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1AAB-6A23-414D-86F5-0921653AEAA8}">
  <dimension ref="A1:H301"/>
  <sheetViews>
    <sheetView workbookViewId="0">
      <selection activeCell="B6" sqref="B6"/>
    </sheetView>
  </sheetViews>
  <sheetFormatPr defaultRowHeight="14.5" x14ac:dyDescent="0.35"/>
  <cols>
    <col min="1" max="1" width="9.453125" customWidth="1"/>
    <col min="2" max="2" width="10.453125" bestFit="1" customWidth="1"/>
    <col min="3" max="3" width="12.453125" bestFit="1" customWidth="1"/>
    <col min="4" max="4" width="13.453125" bestFit="1" customWidth="1"/>
    <col min="7" max="7" width="10.26953125" customWidth="1"/>
  </cols>
  <sheetData>
    <row r="1" spans="1:8" x14ac:dyDescent="0.35">
      <c r="A1" s="1" t="s">
        <v>0</v>
      </c>
      <c r="B1" s="1" t="s">
        <v>1</v>
      </c>
      <c r="C1" s="1" t="s">
        <v>2</v>
      </c>
      <c r="D1" s="1" t="s">
        <v>3</v>
      </c>
      <c r="E1" s="1" t="s">
        <v>4</v>
      </c>
      <c r="F1" s="1" t="s">
        <v>5</v>
      </c>
      <c r="G1" s="1" t="s">
        <v>6</v>
      </c>
      <c r="H1" s="1" t="s">
        <v>7</v>
      </c>
    </row>
    <row r="2" spans="1:8" x14ac:dyDescent="0.35">
      <c r="A2" t="s">
        <v>8</v>
      </c>
      <c r="B2" s="2">
        <v>44952</v>
      </c>
      <c r="C2" t="s">
        <v>9</v>
      </c>
      <c r="D2" t="s">
        <v>10</v>
      </c>
      <c r="E2" t="s">
        <v>11</v>
      </c>
      <c r="F2">
        <v>1219.5</v>
      </c>
      <c r="G2">
        <v>5</v>
      </c>
      <c r="H2">
        <v>211.02</v>
      </c>
    </row>
    <row r="3" spans="1:8" x14ac:dyDescent="0.35">
      <c r="A3" t="s">
        <v>12</v>
      </c>
      <c r="B3" s="2">
        <v>45531</v>
      </c>
      <c r="C3" t="s">
        <v>13</v>
      </c>
      <c r="D3" t="s">
        <v>10</v>
      </c>
      <c r="E3" t="s">
        <v>11</v>
      </c>
      <c r="F3">
        <v>356.63</v>
      </c>
      <c r="G3">
        <v>7</v>
      </c>
      <c r="H3">
        <v>44.79</v>
      </c>
    </row>
    <row r="4" spans="1:8" x14ac:dyDescent="0.35">
      <c r="A4" t="s">
        <v>14</v>
      </c>
      <c r="B4" s="2">
        <v>45501</v>
      </c>
      <c r="C4" t="s">
        <v>15</v>
      </c>
      <c r="D4" t="s">
        <v>16</v>
      </c>
      <c r="E4" t="s">
        <v>11</v>
      </c>
      <c r="F4">
        <v>3194.55</v>
      </c>
      <c r="G4">
        <v>4</v>
      </c>
      <c r="H4">
        <v>578.5</v>
      </c>
    </row>
    <row r="5" spans="1:8" x14ac:dyDescent="0.35">
      <c r="A5" t="s">
        <v>17</v>
      </c>
      <c r="B5" s="2">
        <v>45386</v>
      </c>
      <c r="C5" t="s">
        <v>18</v>
      </c>
      <c r="D5" t="s">
        <v>10</v>
      </c>
      <c r="E5" t="s">
        <v>19</v>
      </c>
      <c r="F5">
        <v>3430.95</v>
      </c>
      <c r="G5">
        <v>10</v>
      </c>
      <c r="H5">
        <v>236.99</v>
      </c>
    </row>
    <row r="6" spans="1:8" x14ac:dyDescent="0.35">
      <c r="A6" t="s">
        <v>20</v>
      </c>
      <c r="B6" s="2">
        <v>45275</v>
      </c>
      <c r="C6" t="s">
        <v>15</v>
      </c>
      <c r="D6" t="s">
        <v>16</v>
      </c>
      <c r="E6" t="s">
        <v>21</v>
      </c>
      <c r="F6">
        <v>1047.44</v>
      </c>
      <c r="G6">
        <v>5</v>
      </c>
      <c r="H6">
        <v>141.27000000000001</v>
      </c>
    </row>
    <row r="7" spans="1:8" x14ac:dyDescent="0.35">
      <c r="A7" t="s">
        <v>22</v>
      </c>
      <c r="B7" s="2">
        <v>45021</v>
      </c>
      <c r="C7" t="s">
        <v>23</v>
      </c>
      <c r="D7" t="s">
        <v>16</v>
      </c>
      <c r="E7" t="s">
        <v>11</v>
      </c>
      <c r="F7">
        <v>961.37</v>
      </c>
      <c r="G7">
        <v>7</v>
      </c>
      <c r="H7">
        <v>95.44</v>
      </c>
    </row>
    <row r="8" spans="1:8" x14ac:dyDescent="0.35">
      <c r="A8" t="s">
        <v>24</v>
      </c>
      <c r="B8" s="2">
        <v>44971</v>
      </c>
      <c r="C8" t="s">
        <v>25</v>
      </c>
      <c r="D8" t="s">
        <v>16</v>
      </c>
      <c r="E8" t="s">
        <v>26</v>
      </c>
      <c r="F8">
        <v>5221.42</v>
      </c>
      <c r="G8">
        <v>8</v>
      </c>
      <c r="H8">
        <v>438.26</v>
      </c>
    </row>
    <row r="9" spans="1:8" x14ac:dyDescent="0.35">
      <c r="A9" t="s">
        <v>27</v>
      </c>
      <c r="B9" s="2">
        <v>45492</v>
      </c>
      <c r="C9" t="s">
        <v>18</v>
      </c>
      <c r="D9" t="s">
        <v>10</v>
      </c>
      <c r="E9" t="s">
        <v>11</v>
      </c>
      <c r="F9">
        <v>4493.2</v>
      </c>
      <c r="G9">
        <v>5</v>
      </c>
      <c r="H9">
        <v>666.94</v>
      </c>
    </row>
    <row r="10" spans="1:8" x14ac:dyDescent="0.35">
      <c r="A10" t="s">
        <v>28</v>
      </c>
      <c r="B10" s="2">
        <v>45648</v>
      </c>
      <c r="C10" t="s">
        <v>23</v>
      </c>
      <c r="D10" t="s">
        <v>16</v>
      </c>
      <c r="E10" t="s">
        <v>19</v>
      </c>
      <c r="F10">
        <v>132.79</v>
      </c>
      <c r="G10">
        <v>2</v>
      </c>
      <c r="H10">
        <v>55.74</v>
      </c>
    </row>
    <row r="11" spans="1:8" x14ac:dyDescent="0.35">
      <c r="A11" t="s">
        <v>29</v>
      </c>
      <c r="B11" s="2">
        <v>45165</v>
      </c>
      <c r="C11" t="s">
        <v>23</v>
      </c>
      <c r="D11" t="s">
        <v>16</v>
      </c>
      <c r="E11" t="s">
        <v>11</v>
      </c>
      <c r="F11">
        <v>811.1</v>
      </c>
      <c r="G11">
        <v>2</v>
      </c>
      <c r="H11">
        <v>316.5</v>
      </c>
    </row>
    <row r="12" spans="1:8" x14ac:dyDescent="0.35">
      <c r="A12" t="s">
        <v>30</v>
      </c>
      <c r="B12" s="2">
        <v>45306</v>
      </c>
      <c r="C12" t="s">
        <v>23</v>
      </c>
      <c r="D12" t="s">
        <v>16</v>
      </c>
      <c r="E12" t="s">
        <v>19</v>
      </c>
      <c r="F12">
        <v>1328.1</v>
      </c>
      <c r="G12">
        <v>6</v>
      </c>
      <c r="H12">
        <v>183.42</v>
      </c>
    </row>
    <row r="13" spans="1:8" x14ac:dyDescent="0.35">
      <c r="A13" t="s">
        <v>31</v>
      </c>
      <c r="B13" s="2">
        <v>45550</v>
      </c>
      <c r="C13" t="s">
        <v>9</v>
      </c>
      <c r="D13" t="s">
        <v>10</v>
      </c>
      <c r="E13" t="s">
        <v>11</v>
      </c>
      <c r="F13">
        <v>1569.15</v>
      </c>
      <c r="G13">
        <v>3</v>
      </c>
      <c r="H13">
        <v>436.63</v>
      </c>
    </row>
    <row r="14" spans="1:8" x14ac:dyDescent="0.35">
      <c r="A14" t="s">
        <v>32</v>
      </c>
      <c r="B14" s="2">
        <v>45203</v>
      </c>
      <c r="C14" t="s">
        <v>18</v>
      </c>
      <c r="D14" t="s">
        <v>10</v>
      </c>
      <c r="E14" t="s">
        <v>21</v>
      </c>
      <c r="F14">
        <v>2117.1999999999998</v>
      </c>
      <c r="G14">
        <v>9</v>
      </c>
      <c r="H14">
        <v>191.3</v>
      </c>
    </row>
    <row r="15" spans="1:8" x14ac:dyDescent="0.35">
      <c r="A15" t="s">
        <v>33</v>
      </c>
      <c r="B15" s="2">
        <v>44959</v>
      </c>
      <c r="C15" t="s">
        <v>13</v>
      </c>
      <c r="D15" t="s">
        <v>10</v>
      </c>
      <c r="E15" t="s">
        <v>19</v>
      </c>
      <c r="F15">
        <v>2250.09</v>
      </c>
      <c r="G15">
        <v>6</v>
      </c>
      <c r="H15">
        <v>332.91</v>
      </c>
    </row>
    <row r="16" spans="1:8" x14ac:dyDescent="0.35">
      <c r="A16" t="s">
        <v>34</v>
      </c>
      <c r="B16" s="2">
        <v>45144</v>
      </c>
      <c r="C16" t="s">
        <v>25</v>
      </c>
      <c r="D16" t="s">
        <v>16</v>
      </c>
      <c r="E16" t="s">
        <v>26</v>
      </c>
      <c r="F16">
        <v>3853.23</v>
      </c>
      <c r="G16">
        <v>8</v>
      </c>
      <c r="H16">
        <v>328.59</v>
      </c>
    </row>
    <row r="17" spans="1:8" x14ac:dyDescent="0.35">
      <c r="A17" t="s">
        <v>35</v>
      </c>
      <c r="B17" s="2">
        <v>45198</v>
      </c>
      <c r="C17" t="s">
        <v>18</v>
      </c>
      <c r="D17" t="s">
        <v>10</v>
      </c>
      <c r="E17" t="s">
        <v>19</v>
      </c>
      <c r="F17">
        <v>843.88</v>
      </c>
      <c r="G17">
        <v>3</v>
      </c>
      <c r="H17">
        <v>212.37</v>
      </c>
    </row>
    <row r="18" spans="1:8" x14ac:dyDescent="0.35">
      <c r="A18" t="s">
        <v>36</v>
      </c>
      <c r="B18" s="2">
        <v>45524</v>
      </c>
      <c r="C18" t="s">
        <v>23</v>
      </c>
      <c r="D18" t="s">
        <v>16</v>
      </c>
      <c r="E18" t="s">
        <v>21</v>
      </c>
      <c r="F18">
        <v>3172.52</v>
      </c>
      <c r="G18">
        <v>7</v>
      </c>
      <c r="H18">
        <v>302.36</v>
      </c>
    </row>
    <row r="19" spans="1:8" x14ac:dyDescent="0.35">
      <c r="A19" t="s">
        <v>37</v>
      </c>
      <c r="B19" s="2">
        <v>45020</v>
      </c>
      <c r="C19" t="s">
        <v>15</v>
      </c>
      <c r="D19" t="s">
        <v>16</v>
      </c>
      <c r="E19" t="s">
        <v>21</v>
      </c>
      <c r="F19">
        <v>803.11</v>
      </c>
      <c r="G19">
        <v>1</v>
      </c>
      <c r="H19">
        <v>691.66</v>
      </c>
    </row>
    <row r="20" spans="1:8" x14ac:dyDescent="0.35">
      <c r="A20" t="s">
        <v>38</v>
      </c>
      <c r="B20" s="2">
        <v>45537</v>
      </c>
      <c r="C20" t="s">
        <v>15</v>
      </c>
      <c r="D20" t="s">
        <v>16</v>
      </c>
      <c r="E20" t="s">
        <v>21</v>
      </c>
      <c r="F20">
        <v>856.87</v>
      </c>
      <c r="G20">
        <v>2</v>
      </c>
      <c r="H20">
        <v>320.12</v>
      </c>
    </row>
    <row r="21" spans="1:8" x14ac:dyDescent="0.35">
      <c r="A21" t="s">
        <v>39</v>
      </c>
      <c r="B21" s="2">
        <v>45493</v>
      </c>
      <c r="C21" t="s">
        <v>18</v>
      </c>
      <c r="D21" t="s">
        <v>10</v>
      </c>
      <c r="E21" t="s">
        <v>26</v>
      </c>
      <c r="F21">
        <v>630.91</v>
      </c>
      <c r="G21">
        <v>1</v>
      </c>
      <c r="H21">
        <v>550.62</v>
      </c>
    </row>
    <row r="22" spans="1:8" x14ac:dyDescent="0.35">
      <c r="A22" t="s">
        <v>40</v>
      </c>
      <c r="B22" s="2">
        <v>45583</v>
      </c>
      <c r="C22" t="s">
        <v>25</v>
      </c>
      <c r="D22" t="s">
        <v>16</v>
      </c>
      <c r="E22" t="s">
        <v>26</v>
      </c>
      <c r="F22">
        <v>817.92</v>
      </c>
      <c r="G22">
        <v>6</v>
      </c>
      <c r="H22">
        <v>107.01</v>
      </c>
    </row>
    <row r="23" spans="1:8" x14ac:dyDescent="0.35">
      <c r="A23" t="s">
        <v>41</v>
      </c>
      <c r="B23" s="2">
        <v>45196</v>
      </c>
      <c r="C23" t="s">
        <v>18</v>
      </c>
      <c r="D23" t="s">
        <v>10</v>
      </c>
      <c r="E23" t="s">
        <v>11</v>
      </c>
      <c r="F23">
        <v>7204.65</v>
      </c>
      <c r="G23">
        <v>9</v>
      </c>
      <c r="H23">
        <v>614.33000000000004</v>
      </c>
    </row>
    <row r="24" spans="1:8" x14ac:dyDescent="0.35">
      <c r="A24" t="s">
        <v>42</v>
      </c>
      <c r="B24" s="2">
        <v>45581</v>
      </c>
      <c r="C24" t="s">
        <v>13</v>
      </c>
      <c r="D24" t="s">
        <v>10</v>
      </c>
      <c r="E24" t="s">
        <v>26</v>
      </c>
      <c r="F24">
        <v>5172.8599999999997</v>
      </c>
      <c r="G24">
        <v>9</v>
      </c>
      <c r="H24">
        <v>495</v>
      </c>
    </row>
    <row r="25" spans="1:8" x14ac:dyDescent="0.35">
      <c r="A25" t="s">
        <v>43</v>
      </c>
      <c r="B25" s="2">
        <v>45540</v>
      </c>
      <c r="C25" t="s">
        <v>15</v>
      </c>
      <c r="D25" t="s">
        <v>16</v>
      </c>
      <c r="E25" t="s">
        <v>11</v>
      </c>
      <c r="F25">
        <v>2755.02</v>
      </c>
      <c r="G25">
        <v>6</v>
      </c>
      <c r="H25">
        <v>401.11</v>
      </c>
    </row>
    <row r="26" spans="1:8" x14ac:dyDescent="0.35">
      <c r="A26" t="s">
        <v>44</v>
      </c>
      <c r="B26" s="2">
        <v>45172</v>
      </c>
      <c r="C26" t="s">
        <v>23</v>
      </c>
      <c r="D26" t="s">
        <v>16</v>
      </c>
      <c r="E26" t="s">
        <v>26</v>
      </c>
      <c r="F26">
        <v>275.83999999999997</v>
      </c>
      <c r="G26">
        <v>1</v>
      </c>
      <c r="H26">
        <v>207.88</v>
      </c>
    </row>
    <row r="27" spans="1:8" x14ac:dyDescent="0.35">
      <c r="A27" t="s">
        <v>45</v>
      </c>
      <c r="B27" s="2">
        <v>45424</v>
      </c>
      <c r="C27" t="s">
        <v>13</v>
      </c>
      <c r="D27" t="s">
        <v>10</v>
      </c>
      <c r="E27" t="s">
        <v>11</v>
      </c>
      <c r="F27">
        <v>2055.84</v>
      </c>
      <c r="G27">
        <v>2</v>
      </c>
      <c r="H27">
        <v>782.83</v>
      </c>
    </row>
    <row r="28" spans="1:8" x14ac:dyDescent="0.35">
      <c r="A28" t="s">
        <v>46</v>
      </c>
      <c r="B28" s="2">
        <v>45602</v>
      </c>
      <c r="C28" t="s">
        <v>15</v>
      </c>
      <c r="D28" t="s">
        <v>16</v>
      </c>
      <c r="E28" t="s">
        <v>19</v>
      </c>
      <c r="F28">
        <v>7075.97</v>
      </c>
      <c r="G28">
        <v>8</v>
      </c>
      <c r="H28">
        <v>758.54</v>
      </c>
    </row>
    <row r="29" spans="1:8" x14ac:dyDescent="0.35">
      <c r="A29" t="s">
        <v>47</v>
      </c>
      <c r="B29" s="2">
        <v>45143</v>
      </c>
      <c r="C29" t="s">
        <v>25</v>
      </c>
      <c r="D29" t="s">
        <v>16</v>
      </c>
      <c r="E29" t="s">
        <v>21</v>
      </c>
      <c r="F29">
        <v>7542.93</v>
      </c>
      <c r="G29">
        <v>9</v>
      </c>
      <c r="H29">
        <v>609.11</v>
      </c>
    </row>
    <row r="30" spans="1:8" x14ac:dyDescent="0.35">
      <c r="A30" t="s">
        <v>48</v>
      </c>
      <c r="B30" s="2">
        <v>45335</v>
      </c>
      <c r="C30" t="s">
        <v>9</v>
      </c>
      <c r="D30" t="s">
        <v>10</v>
      </c>
      <c r="E30" t="s">
        <v>26</v>
      </c>
      <c r="F30">
        <v>2836.67</v>
      </c>
      <c r="G30">
        <v>6</v>
      </c>
      <c r="H30">
        <v>361.72</v>
      </c>
    </row>
    <row r="31" spans="1:8" x14ac:dyDescent="0.35">
      <c r="A31" t="s">
        <v>49</v>
      </c>
      <c r="B31" s="2">
        <v>45157</v>
      </c>
      <c r="C31" t="s">
        <v>13</v>
      </c>
      <c r="D31" t="s">
        <v>10</v>
      </c>
      <c r="E31" t="s">
        <v>19</v>
      </c>
      <c r="F31">
        <v>757.69</v>
      </c>
      <c r="G31">
        <v>2</v>
      </c>
      <c r="H31">
        <v>283.70999999999998</v>
      </c>
    </row>
    <row r="32" spans="1:8" x14ac:dyDescent="0.35">
      <c r="A32" t="s">
        <v>50</v>
      </c>
      <c r="B32" s="2">
        <v>44934</v>
      </c>
      <c r="C32" t="s">
        <v>15</v>
      </c>
      <c r="D32" t="s">
        <v>16</v>
      </c>
      <c r="E32" t="s">
        <v>19</v>
      </c>
      <c r="F32">
        <v>1285.6099999999999</v>
      </c>
      <c r="G32">
        <v>2</v>
      </c>
      <c r="H32">
        <v>572.12</v>
      </c>
    </row>
    <row r="33" spans="1:8" x14ac:dyDescent="0.35">
      <c r="A33" t="s">
        <v>51</v>
      </c>
      <c r="B33" s="2">
        <v>45265</v>
      </c>
      <c r="C33" t="s">
        <v>13</v>
      </c>
      <c r="D33" t="s">
        <v>10</v>
      </c>
      <c r="E33" t="s">
        <v>11</v>
      </c>
      <c r="F33">
        <v>1020.09</v>
      </c>
      <c r="G33">
        <v>2</v>
      </c>
      <c r="H33">
        <v>421.04</v>
      </c>
    </row>
    <row r="34" spans="1:8" x14ac:dyDescent="0.35">
      <c r="A34" t="s">
        <v>52</v>
      </c>
      <c r="B34" s="2">
        <v>45479</v>
      </c>
      <c r="C34" t="s">
        <v>18</v>
      </c>
      <c r="D34" t="s">
        <v>10</v>
      </c>
      <c r="E34" t="s">
        <v>19</v>
      </c>
      <c r="F34">
        <v>2546.5300000000002</v>
      </c>
      <c r="G34">
        <v>3</v>
      </c>
      <c r="H34">
        <v>584.22</v>
      </c>
    </row>
    <row r="35" spans="1:8" x14ac:dyDescent="0.35">
      <c r="A35" t="s">
        <v>53</v>
      </c>
      <c r="B35" s="2">
        <v>45175</v>
      </c>
      <c r="C35" t="s">
        <v>25</v>
      </c>
      <c r="D35" t="s">
        <v>16</v>
      </c>
      <c r="E35" t="s">
        <v>21</v>
      </c>
      <c r="F35">
        <v>6114.64</v>
      </c>
      <c r="G35">
        <v>8</v>
      </c>
      <c r="H35">
        <v>649.85</v>
      </c>
    </row>
    <row r="36" spans="1:8" x14ac:dyDescent="0.35">
      <c r="A36" t="s">
        <v>54</v>
      </c>
      <c r="B36" s="2">
        <v>45289</v>
      </c>
      <c r="C36" t="s">
        <v>13</v>
      </c>
      <c r="D36" t="s">
        <v>10</v>
      </c>
      <c r="E36" t="s">
        <v>21</v>
      </c>
      <c r="F36">
        <v>3447.05</v>
      </c>
      <c r="G36">
        <v>7</v>
      </c>
      <c r="H36">
        <v>340.66</v>
      </c>
    </row>
    <row r="37" spans="1:8" x14ac:dyDescent="0.35">
      <c r="A37" t="s">
        <v>55</v>
      </c>
      <c r="B37" s="2">
        <v>44989</v>
      </c>
      <c r="C37" t="s">
        <v>13</v>
      </c>
      <c r="D37" t="s">
        <v>10</v>
      </c>
      <c r="E37" t="s">
        <v>11</v>
      </c>
      <c r="F37">
        <v>5845.79</v>
      </c>
      <c r="G37">
        <v>7</v>
      </c>
      <c r="H37">
        <v>588.01</v>
      </c>
    </row>
    <row r="38" spans="1:8" x14ac:dyDescent="0.35">
      <c r="A38" t="s">
        <v>56</v>
      </c>
      <c r="B38" s="2">
        <v>45123</v>
      </c>
      <c r="C38" t="s">
        <v>13</v>
      </c>
      <c r="D38" t="s">
        <v>10</v>
      </c>
      <c r="E38" t="s">
        <v>19</v>
      </c>
      <c r="F38">
        <v>2026.83</v>
      </c>
      <c r="G38">
        <v>4</v>
      </c>
      <c r="H38">
        <v>438.3</v>
      </c>
    </row>
    <row r="39" spans="1:8" x14ac:dyDescent="0.35">
      <c r="A39" t="s">
        <v>57</v>
      </c>
      <c r="B39" s="2">
        <v>45400</v>
      </c>
      <c r="C39" t="s">
        <v>15</v>
      </c>
      <c r="D39" t="s">
        <v>16</v>
      </c>
      <c r="E39" t="s">
        <v>26</v>
      </c>
      <c r="F39">
        <v>3173.92</v>
      </c>
      <c r="G39">
        <v>4</v>
      </c>
      <c r="H39">
        <v>702.1</v>
      </c>
    </row>
    <row r="40" spans="1:8" x14ac:dyDescent="0.35">
      <c r="A40" t="s">
        <v>58</v>
      </c>
      <c r="B40" s="2">
        <v>44978</v>
      </c>
      <c r="C40" t="s">
        <v>25</v>
      </c>
      <c r="D40" t="s">
        <v>16</v>
      </c>
      <c r="E40" t="s">
        <v>11</v>
      </c>
      <c r="F40">
        <v>8998.33</v>
      </c>
      <c r="G40">
        <v>9</v>
      </c>
      <c r="H40">
        <v>672.1</v>
      </c>
    </row>
    <row r="41" spans="1:8" x14ac:dyDescent="0.35">
      <c r="A41" t="s">
        <v>59</v>
      </c>
      <c r="B41" s="2">
        <v>45343</v>
      </c>
      <c r="C41" t="s">
        <v>15</v>
      </c>
      <c r="D41" t="s">
        <v>16</v>
      </c>
      <c r="E41" t="s">
        <v>19</v>
      </c>
      <c r="F41">
        <v>4574.24</v>
      </c>
      <c r="G41">
        <v>8</v>
      </c>
      <c r="H41">
        <v>395.46</v>
      </c>
    </row>
    <row r="42" spans="1:8" x14ac:dyDescent="0.35">
      <c r="A42" t="s">
        <v>60</v>
      </c>
      <c r="B42" s="2">
        <v>45315</v>
      </c>
      <c r="C42" t="s">
        <v>13</v>
      </c>
      <c r="D42" t="s">
        <v>10</v>
      </c>
      <c r="E42" t="s">
        <v>19</v>
      </c>
      <c r="F42">
        <v>951.04</v>
      </c>
      <c r="G42">
        <v>1</v>
      </c>
      <c r="H42">
        <v>788.54</v>
      </c>
    </row>
    <row r="43" spans="1:8" x14ac:dyDescent="0.35">
      <c r="A43" t="s">
        <v>61</v>
      </c>
      <c r="B43" s="2">
        <v>45360</v>
      </c>
      <c r="C43" t="s">
        <v>18</v>
      </c>
      <c r="D43" t="s">
        <v>10</v>
      </c>
      <c r="E43" t="s">
        <v>26</v>
      </c>
      <c r="F43">
        <v>6248.51</v>
      </c>
      <c r="G43">
        <v>9</v>
      </c>
      <c r="H43">
        <v>536.26</v>
      </c>
    </row>
    <row r="44" spans="1:8" x14ac:dyDescent="0.35">
      <c r="A44" t="s">
        <v>62</v>
      </c>
      <c r="B44" s="2">
        <v>45149</v>
      </c>
      <c r="C44" t="s">
        <v>15</v>
      </c>
      <c r="D44" t="s">
        <v>16</v>
      </c>
      <c r="E44" t="s">
        <v>26</v>
      </c>
      <c r="F44">
        <v>621.25</v>
      </c>
      <c r="G44">
        <v>1</v>
      </c>
      <c r="H44">
        <v>471.76</v>
      </c>
    </row>
    <row r="45" spans="1:8" x14ac:dyDescent="0.35">
      <c r="A45" t="s">
        <v>63</v>
      </c>
      <c r="B45" s="2">
        <v>44985</v>
      </c>
      <c r="C45" t="s">
        <v>9</v>
      </c>
      <c r="D45" t="s">
        <v>10</v>
      </c>
      <c r="E45" t="s">
        <v>26</v>
      </c>
      <c r="F45">
        <v>618.9</v>
      </c>
      <c r="G45">
        <v>1</v>
      </c>
      <c r="H45">
        <v>475.66</v>
      </c>
    </row>
    <row r="46" spans="1:8" x14ac:dyDescent="0.35">
      <c r="A46" t="s">
        <v>64</v>
      </c>
      <c r="B46" s="2">
        <v>44985</v>
      </c>
      <c r="C46" t="s">
        <v>25</v>
      </c>
      <c r="D46" t="s">
        <v>16</v>
      </c>
      <c r="E46" t="s">
        <v>19</v>
      </c>
      <c r="F46">
        <v>871.83</v>
      </c>
      <c r="G46">
        <v>9</v>
      </c>
      <c r="H46">
        <v>82.49</v>
      </c>
    </row>
    <row r="47" spans="1:8" x14ac:dyDescent="0.35">
      <c r="A47" t="s">
        <v>65</v>
      </c>
      <c r="B47" s="2">
        <v>45618</v>
      </c>
      <c r="C47" t="s">
        <v>25</v>
      </c>
      <c r="D47" t="s">
        <v>16</v>
      </c>
      <c r="E47" t="s">
        <v>11</v>
      </c>
      <c r="F47">
        <v>1978.34</v>
      </c>
      <c r="G47">
        <v>4</v>
      </c>
      <c r="H47">
        <v>334.94</v>
      </c>
    </row>
    <row r="48" spans="1:8" x14ac:dyDescent="0.35">
      <c r="A48" t="s">
        <v>66</v>
      </c>
      <c r="B48" s="2">
        <v>45519</v>
      </c>
      <c r="C48" t="s">
        <v>25</v>
      </c>
      <c r="D48" t="s">
        <v>16</v>
      </c>
      <c r="E48" t="s">
        <v>19</v>
      </c>
      <c r="F48">
        <v>577.72</v>
      </c>
      <c r="G48">
        <v>10</v>
      </c>
      <c r="H48">
        <v>51</v>
      </c>
    </row>
    <row r="49" spans="1:8" x14ac:dyDescent="0.35">
      <c r="A49" t="s">
        <v>67</v>
      </c>
      <c r="B49" s="2">
        <v>45194</v>
      </c>
      <c r="C49" t="s">
        <v>9</v>
      </c>
      <c r="D49" t="s">
        <v>10</v>
      </c>
      <c r="E49" t="s">
        <v>26</v>
      </c>
      <c r="F49">
        <v>2659.17</v>
      </c>
      <c r="G49">
        <v>4</v>
      </c>
      <c r="H49">
        <v>542.39</v>
      </c>
    </row>
    <row r="50" spans="1:8" x14ac:dyDescent="0.35">
      <c r="A50" t="s">
        <v>68</v>
      </c>
      <c r="B50" s="2">
        <v>45061</v>
      </c>
      <c r="C50" t="s">
        <v>23</v>
      </c>
      <c r="D50" t="s">
        <v>16</v>
      </c>
      <c r="E50" t="s">
        <v>21</v>
      </c>
      <c r="F50">
        <v>2771.33</v>
      </c>
      <c r="G50">
        <v>5</v>
      </c>
      <c r="H50">
        <v>376.64</v>
      </c>
    </row>
    <row r="51" spans="1:8" x14ac:dyDescent="0.35">
      <c r="A51" t="s">
        <v>69</v>
      </c>
      <c r="B51" s="2">
        <v>45396</v>
      </c>
      <c r="C51" t="s">
        <v>13</v>
      </c>
      <c r="D51" t="s">
        <v>10</v>
      </c>
      <c r="E51" t="s">
        <v>11</v>
      </c>
      <c r="F51">
        <v>11969.38</v>
      </c>
      <c r="G51">
        <v>10</v>
      </c>
      <c r="H51">
        <v>798.79</v>
      </c>
    </row>
    <row r="52" spans="1:8" x14ac:dyDescent="0.35">
      <c r="A52" t="s">
        <v>70</v>
      </c>
      <c r="B52" s="2">
        <v>45445</v>
      </c>
      <c r="C52" t="s">
        <v>13</v>
      </c>
      <c r="D52" t="s">
        <v>10</v>
      </c>
      <c r="E52" t="s">
        <v>19</v>
      </c>
      <c r="F52">
        <v>764.34</v>
      </c>
      <c r="G52">
        <v>5</v>
      </c>
      <c r="H52">
        <v>123.32</v>
      </c>
    </row>
    <row r="53" spans="1:8" x14ac:dyDescent="0.35">
      <c r="A53" t="s">
        <v>71</v>
      </c>
      <c r="B53" s="2">
        <v>45305</v>
      </c>
      <c r="C53" t="s">
        <v>13</v>
      </c>
      <c r="D53" t="s">
        <v>10</v>
      </c>
      <c r="E53" t="s">
        <v>19</v>
      </c>
      <c r="F53">
        <v>1025.24</v>
      </c>
      <c r="G53">
        <v>5</v>
      </c>
      <c r="H53">
        <v>143.04</v>
      </c>
    </row>
    <row r="54" spans="1:8" x14ac:dyDescent="0.35">
      <c r="A54" t="s">
        <v>72</v>
      </c>
      <c r="B54" s="2">
        <v>45553</v>
      </c>
      <c r="C54" t="s">
        <v>9</v>
      </c>
      <c r="D54" t="s">
        <v>10</v>
      </c>
      <c r="E54" t="s">
        <v>26</v>
      </c>
      <c r="F54">
        <v>335.17</v>
      </c>
      <c r="G54">
        <v>9</v>
      </c>
      <c r="H54">
        <v>26.1</v>
      </c>
    </row>
    <row r="55" spans="1:8" x14ac:dyDescent="0.35">
      <c r="A55" t="s">
        <v>73</v>
      </c>
      <c r="B55" s="2">
        <v>45064</v>
      </c>
      <c r="C55" t="s">
        <v>23</v>
      </c>
      <c r="D55" t="s">
        <v>16</v>
      </c>
      <c r="E55" t="s">
        <v>11</v>
      </c>
      <c r="F55">
        <v>628.72</v>
      </c>
      <c r="G55">
        <v>5</v>
      </c>
      <c r="H55">
        <v>110.03</v>
      </c>
    </row>
    <row r="56" spans="1:8" x14ac:dyDescent="0.35">
      <c r="A56" t="s">
        <v>74</v>
      </c>
      <c r="B56" s="2">
        <v>45205</v>
      </c>
      <c r="C56" t="s">
        <v>25</v>
      </c>
      <c r="D56" t="s">
        <v>16</v>
      </c>
      <c r="E56" t="s">
        <v>19</v>
      </c>
      <c r="F56">
        <v>3410.54</v>
      </c>
      <c r="G56">
        <v>5</v>
      </c>
      <c r="H56">
        <v>491.77</v>
      </c>
    </row>
    <row r="57" spans="1:8" x14ac:dyDescent="0.35">
      <c r="A57" t="s">
        <v>75</v>
      </c>
      <c r="B57" s="2">
        <v>45444</v>
      </c>
      <c r="C57" t="s">
        <v>15</v>
      </c>
      <c r="D57" t="s">
        <v>16</v>
      </c>
      <c r="E57" t="s">
        <v>26</v>
      </c>
      <c r="F57">
        <v>2527</v>
      </c>
      <c r="G57">
        <v>8</v>
      </c>
      <c r="H57">
        <v>215.87</v>
      </c>
    </row>
    <row r="58" spans="1:8" x14ac:dyDescent="0.35">
      <c r="A58" t="s">
        <v>76</v>
      </c>
      <c r="B58" s="2">
        <v>45576</v>
      </c>
      <c r="C58" t="s">
        <v>13</v>
      </c>
      <c r="D58" t="s">
        <v>10</v>
      </c>
      <c r="E58" t="s">
        <v>11</v>
      </c>
      <c r="F58">
        <v>5217.38</v>
      </c>
      <c r="G58">
        <v>7</v>
      </c>
      <c r="H58">
        <v>666.89</v>
      </c>
    </row>
    <row r="59" spans="1:8" x14ac:dyDescent="0.35">
      <c r="A59" t="s">
        <v>77</v>
      </c>
      <c r="B59" s="2">
        <v>45579</v>
      </c>
      <c r="C59" t="s">
        <v>23</v>
      </c>
      <c r="D59" t="s">
        <v>16</v>
      </c>
      <c r="E59" t="s">
        <v>19</v>
      </c>
      <c r="F59">
        <v>932.21</v>
      </c>
      <c r="G59">
        <v>5</v>
      </c>
      <c r="H59">
        <v>146.03</v>
      </c>
    </row>
    <row r="60" spans="1:8" x14ac:dyDescent="0.35">
      <c r="A60" t="s">
        <v>78</v>
      </c>
      <c r="B60" s="2">
        <v>45501</v>
      </c>
      <c r="C60" t="s">
        <v>9</v>
      </c>
      <c r="D60" t="s">
        <v>10</v>
      </c>
      <c r="E60" t="s">
        <v>21</v>
      </c>
      <c r="F60">
        <v>158.53</v>
      </c>
      <c r="G60">
        <v>1</v>
      </c>
      <c r="H60">
        <v>107.26</v>
      </c>
    </row>
    <row r="61" spans="1:8" x14ac:dyDescent="0.35">
      <c r="A61" t="s">
        <v>79</v>
      </c>
      <c r="B61" s="2">
        <v>45485</v>
      </c>
      <c r="C61" t="s">
        <v>9</v>
      </c>
      <c r="D61" t="s">
        <v>10</v>
      </c>
      <c r="E61" t="s">
        <v>19</v>
      </c>
      <c r="F61">
        <v>894.42</v>
      </c>
      <c r="G61">
        <v>1</v>
      </c>
      <c r="H61">
        <v>670.98</v>
      </c>
    </row>
    <row r="62" spans="1:8" x14ac:dyDescent="0.35">
      <c r="A62" t="s">
        <v>80</v>
      </c>
      <c r="B62" s="2">
        <v>45057</v>
      </c>
      <c r="C62" t="s">
        <v>15</v>
      </c>
      <c r="D62" t="s">
        <v>16</v>
      </c>
      <c r="E62" t="s">
        <v>21</v>
      </c>
      <c r="F62">
        <v>380.14</v>
      </c>
      <c r="G62">
        <v>1</v>
      </c>
      <c r="H62">
        <v>260.44</v>
      </c>
    </row>
    <row r="63" spans="1:8" x14ac:dyDescent="0.35">
      <c r="A63" t="s">
        <v>81</v>
      </c>
      <c r="B63" s="2">
        <v>45142</v>
      </c>
      <c r="C63" t="s">
        <v>13</v>
      </c>
      <c r="D63" t="s">
        <v>10</v>
      </c>
      <c r="E63" t="s">
        <v>26</v>
      </c>
      <c r="F63">
        <v>2682.62</v>
      </c>
      <c r="G63">
        <v>4</v>
      </c>
      <c r="H63">
        <v>540.21</v>
      </c>
    </row>
    <row r="64" spans="1:8" x14ac:dyDescent="0.35">
      <c r="A64" t="s">
        <v>82</v>
      </c>
      <c r="B64" s="2">
        <v>45562</v>
      </c>
      <c r="C64" t="s">
        <v>25</v>
      </c>
      <c r="D64" t="s">
        <v>16</v>
      </c>
      <c r="E64" t="s">
        <v>21</v>
      </c>
      <c r="F64">
        <v>2659.75</v>
      </c>
      <c r="G64">
        <v>3</v>
      </c>
      <c r="H64">
        <v>742.1</v>
      </c>
    </row>
    <row r="65" spans="1:8" x14ac:dyDescent="0.35">
      <c r="A65" t="s">
        <v>83</v>
      </c>
      <c r="B65" s="2">
        <v>45349</v>
      </c>
      <c r="C65" t="s">
        <v>15</v>
      </c>
      <c r="D65" t="s">
        <v>16</v>
      </c>
      <c r="E65" t="s">
        <v>19</v>
      </c>
      <c r="F65">
        <v>235.02</v>
      </c>
      <c r="G65">
        <v>1</v>
      </c>
      <c r="H65">
        <v>159.9</v>
      </c>
    </row>
    <row r="66" spans="1:8" x14ac:dyDescent="0.35">
      <c r="A66" t="s">
        <v>84</v>
      </c>
      <c r="B66" s="2">
        <v>45200</v>
      </c>
      <c r="C66" t="s">
        <v>18</v>
      </c>
      <c r="D66" t="s">
        <v>10</v>
      </c>
      <c r="E66" t="s">
        <v>19</v>
      </c>
      <c r="F66">
        <v>2174.9499999999998</v>
      </c>
      <c r="G66">
        <v>3</v>
      </c>
      <c r="H66">
        <v>634.15</v>
      </c>
    </row>
    <row r="67" spans="1:8" x14ac:dyDescent="0.35">
      <c r="A67" t="s">
        <v>85</v>
      </c>
      <c r="B67" s="2">
        <v>45154</v>
      </c>
      <c r="C67" t="s">
        <v>13</v>
      </c>
      <c r="D67" t="s">
        <v>10</v>
      </c>
      <c r="E67" t="s">
        <v>21</v>
      </c>
      <c r="F67">
        <v>3374.36</v>
      </c>
      <c r="G67">
        <v>4</v>
      </c>
      <c r="H67">
        <v>656.94</v>
      </c>
    </row>
    <row r="68" spans="1:8" x14ac:dyDescent="0.35">
      <c r="A68" t="s">
        <v>86</v>
      </c>
      <c r="B68" s="2">
        <v>45155</v>
      </c>
      <c r="C68" t="s">
        <v>23</v>
      </c>
      <c r="D68" t="s">
        <v>16</v>
      </c>
      <c r="E68" t="s">
        <v>19</v>
      </c>
      <c r="F68">
        <v>673.56</v>
      </c>
      <c r="G68">
        <v>1</v>
      </c>
      <c r="H68">
        <v>534.83000000000004</v>
      </c>
    </row>
    <row r="69" spans="1:8" x14ac:dyDescent="0.35">
      <c r="A69" t="s">
        <v>87</v>
      </c>
      <c r="B69" s="2">
        <v>45212</v>
      </c>
      <c r="C69" t="s">
        <v>23</v>
      </c>
      <c r="D69" t="s">
        <v>16</v>
      </c>
      <c r="E69" t="s">
        <v>11</v>
      </c>
      <c r="F69">
        <v>3933.52</v>
      </c>
      <c r="G69">
        <v>6</v>
      </c>
      <c r="H69">
        <v>520.36</v>
      </c>
    </row>
    <row r="70" spans="1:8" x14ac:dyDescent="0.35">
      <c r="A70" t="s">
        <v>88</v>
      </c>
      <c r="B70" s="2">
        <v>44955</v>
      </c>
      <c r="C70" t="s">
        <v>25</v>
      </c>
      <c r="D70" t="s">
        <v>16</v>
      </c>
      <c r="E70" t="s">
        <v>26</v>
      </c>
      <c r="F70">
        <v>1696.13</v>
      </c>
      <c r="G70">
        <v>2</v>
      </c>
      <c r="H70">
        <v>704.09</v>
      </c>
    </row>
    <row r="71" spans="1:8" x14ac:dyDescent="0.35">
      <c r="A71" t="s">
        <v>89</v>
      </c>
      <c r="B71" s="2">
        <v>44966</v>
      </c>
      <c r="C71" t="s">
        <v>25</v>
      </c>
      <c r="D71" t="s">
        <v>16</v>
      </c>
      <c r="E71" t="s">
        <v>26</v>
      </c>
      <c r="F71">
        <v>1201.94</v>
      </c>
      <c r="G71">
        <v>2</v>
      </c>
      <c r="H71">
        <v>485.33</v>
      </c>
    </row>
    <row r="72" spans="1:8" x14ac:dyDescent="0.35">
      <c r="A72" t="s">
        <v>90</v>
      </c>
      <c r="B72" s="2">
        <v>45547</v>
      </c>
      <c r="C72" t="s">
        <v>23</v>
      </c>
      <c r="D72" t="s">
        <v>16</v>
      </c>
      <c r="E72" t="s">
        <v>21</v>
      </c>
      <c r="F72">
        <v>1447.83</v>
      </c>
      <c r="G72">
        <v>9</v>
      </c>
      <c r="H72">
        <v>110.2</v>
      </c>
    </row>
    <row r="73" spans="1:8" x14ac:dyDescent="0.35">
      <c r="A73" t="s">
        <v>91</v>
      </c>
      <c r="B73" s="2">
        <v>44972</v>
      </c>
      <c r="C73" t="s">
        <v>15</v>
      </c>
      <c r="D73" t="s">
        <v>16</v>
      </c>
      <c r="E73" t="s">
        <v>26</v>
      </c>
      <c r="F73">
        <v>219.42</v>
      </c>
      <c r="G73">
        <v>7</v>
      </c>
      <c r="H73">
        <v>21.32</v>
      </c>
    </row>
    <row r="74" spans="1:8" x14ac:dyDescent="0.35">
      <c r="A74" t="s">
        <v>92</v>
      </c>
      <c r="B74" s="2">
        <v>45299</v>
      </c>
      <c r="C74" t="s">
        <v>25</v>
      </c>
      <c r="D74" t="s">
        <v>16</v>
      </c>
      <c r="E74" t="s">
        <v>19</v>
      </c>
      <c r="F74">
        <v>712.97</v>
      </c>
      <c r="G74">
        <v>7</v>
      </c>
      <c r="H74">
        <v>74.58</v>
      </c>
    </row>
    <row r="75" spans="1:8" x14ac:dyDescent="0.35">
      <c r="A75" t="s">
        <v>93</v>
      </c>
      <c r="B75" s="2">
        <v>45606</v>
      </c>
      <c r="C75" t="s">
        <v>23</v>
      </c>
      <c r="D75" t="s">
        <v>16</v>
      </c>
      <c r="E75" t="s">
        <v>26</v>
      </c>
      <c r="F75">
        <v>1418.79</v>
      </c>
      <c r="G75">
        <v>2</v>
      </c>
      <c r="H75">
        <v>581.41</v>
      </c>
    </row>
    <row r="76" spans="1:8" x14ac:dyDescent="0.35">
      <c r="A76" t="s">
        <v>94</v>
      </c>
      <c r="B76" s="2">
        <v>45261</v>
      </c>
      <c r="C76" t="s">
        <v>23</v>
      </c>
      <c r="D76" t="s">
        <v>16</v>
      </c>
      <c r="E76" t="s">
        <v>21</v>
      </c>
      <c r="F76">
        <v>5216.66</v>
      </c>
      <c r="G76">
        <v>7</v>
      </c>
      <c r="H76">
        <v>563.82000000000005</v>
      </c>
    </row>
    <row r="77" spans="1:8" x14ac:dyDescent="0.35">
      <c r="A77" t="s">
        <v>95</v>
      </c>
      <c r="B77" s="2">
        <v>45607</v>
      </c>
      <c r="C77" t="s">
        <v>15</v>
      </c>
      <c r="D77" t="s">
        <v>16</v>
      </c>
      <c r="E77" t="s">
        <v>21</v>
      </c>
      <c r="F77">
        <v>5608.04</v>
      </c>
      <c r="G77">
        <v>7</v>
      </c>
      <c r="H77">
        <v>548.30999999999995</v>
      </c>
    </row>
    <row r="78" spans="1:8" x14ac:dyDescent="0.35">
      <c r="A78" t="s">
        <v>96</v>
      </c>
      <c r="B78" s="2">
        <v>45342</v>
      </c>
      <c r="C78" t="s">
        <v>25</v>
      </c>
      <c r="D78" t="s">
        <v>16</v>
      </c>
      <c r="E78" t="s">
        <v>26</v>
      </c>
      <c r="F78">
        <v>7369.35</v>
      </c>
      <c r="G78">
        <v>9</v>
      </c>
      <c r="H78">
        <v>670.31</v>
      </c>
    </row>
    <row r="79" spans="1:8" x14ac:dyDescent="0.35">
      <c r="A79" t="s">
        <v>97</v>
      </c>
      <c r="B79" s="2">
        <v>45520</v>
      </c>
      <c r="C79" t="s">
        <v>15</v>
      </c>
      <c r="D79" t="s">
        <v>16</v>
      </c>
      <c r="E79" t="s">
        <v>21</v>
      </c>
      <c r="F79">
        <v>6824.39</v>
      </c>
      <c r="G79">
        <v>10</v>
      </c>
      <c r="H79">
        <v>530.66999999999996</v>
      </c>
    </row>
    <row r="80" spans="1:8" x14ac:dyDescent="0.35">
      <c r="A80" t="s">
        <v>98</v>
      </c>
      <c r="B80" s="2">
        <v>45450</v>
      </c>
      <c r="C80" t="s">
        <v>18</v>
      </c>
      <c r="D80" t="s">
        <v>10</v>
      </c>
      <c r="E80" t="s">
        <v>19</v>
      </c>
      <c r="F80">
        <v>7587.17</v>
      </c>
      <c r="G80">
        <v>8</v>
      </c>
      <c r="H80">
        <v>639.11</v>
      </c>
    </row>
    <row r="81" spans="1:8" x14ac:dyDescent="0.35">
      <c r="A81" t="s">
        <v>99</v>
      </c>
      <c r="B81" s="2">
        <v>45601</v>
      </c>
      <c r="C81" t="s">
        <v>9</v>
      </c>
      <c r="D81" t="s">
        <v>10</v>
      </c>
      <c r="E81" t="s">
        <v>19</v>
      </c>
      <c r="F81">
        <v>659.15</v>
      </c>
      <c r="G81">
        <v>2</v>
      </c>
      <c r="H81">
        <v>241.35</v>
      </c>
    </row>
    <row r="82" spans="1:8" x14ac:dyDescent="0.35">
      <c r="A82" t="s">
        <v>100</v>
      </c>
      <c r="B82" s="2">
        <v>45022</v>
      </c>
      <c r="C82" t="s">
        <v>25</v>
      </c>
      <c r="D82" t="s">
        <v>16</v>
      </c>
      <c r="E82" t="s">
        <v>26</v>
      </c>
      <c r="F82">
        <v>2592.84</v>
      </c>
      <c r="G82">
        <v>4</v>
      </c>
      <c r="H82">
        <v>544.78</v>
      </c>
    </row>
    <row r="83" spans="1:8" x14ac:dyDescent="0.35">
      <c r="A83" t="s">
        <v>101</v>
      </c>
      <c r="B83" s="2">
        <v>44952</v>
      </c>
      <c r="C83" t="s">
        <v>15</v>
      </c>
      <c r="D83" t="s">
        <v>16</v>
      </c>
      <c r="E83" t="s">
        <v>19</v>
      </c>
      <c r="F83">
        <v>272.18</v>
      </c>
      <c r="G83">
        <v>1</v>
      </c>
      <c r="H83">
        <v>210.98</v>
      </c>
    </row>
    <row r="84" spans="1:8" x14ac:dyDescent="0.35">
      <c r="A84" t="s">
        <v>102</v>
      </c>
      <c r="B84" s="2">
        <v>45351</v>
      </c>
      <c r="C84" t="s">
        <v>13</v>
      </c>
      <c r="D84" t="s">
        <v>10</v>
      </c>
      <c r="E84" t="s">
        <v>21</v>
      </c>
      <c r="F84">
        <v>2366.4</v>
      </c>
      <c r="G84">
        <v>10</v>
      </c>
      <c r="H84">
        <v>171.66</v>
      </c>
    </row>
    <row r="85" spans="1:8" x14ac:dyDescent="0.35">
      <c r="A85" t="s">
        <v>103</v>
      </c>
      <c r="B85" s="2">
        <v>45176</v>
      </c>
      <c r="C85" t="s">
        <v>18</v>
      </c>
      <c r="D85" t="s">
        <v>10</v>
      </c>
      <c r="E85" t="s">
        <v>21</v>
      </c>
      <c r="F85">
        <v>1758.25</v>
      </c>
      <c r="G85">
        <v>3</v>
      </c>
      <c r="H85">
        <v>531.73</v>
      </c>
    </row>
    <row r="86" spans="1:8" x14ac:dyDescent="0.35">
      <c r="A86" t="s">
        <v>104</v>
      </c>
      <c r="B86" s="2">
        <v>45151</v>
      </c>
      <c r="C86" t="s">
        <v>13</v>
      </c>
      <c r="D86" t="s">
        <v>10</v>
      </c>
      <c r="E86" t="s">
        <v>21</v>
      </c>
      <c r="F86">
        <v>2676.27</v>
      </c>
      <c r="G86">
        <v>3</v>
      </c>
      <c r="H86">
        <v>647.21</v>
      </c>
    </row>
    <row r="87" spans="1:8" x14ac:dyDescent="0.35">
      <c r="A87" t="s">
        <v>105</v>
      </c>
      <c r="B87" s="2">
        <v>45497</v>
      </c>
      <c r="C87" t="s">
        <v>18</v>
      </c>
      <c r="D87" t="s">
        <v>10</v>
      </c>
      <c r="E87" t="s">
        <v>11</v>
      </c>
      <c r="F87">
        <v>3379.61</v>
      </c>
      <c r="G87">
        <v>4</v>
      </c>
      <c r="H87">
        <v>735.63</v>
      </c>
    </row>
    <row r="88" spans="1:8" x14ac:dyDescent="0.35">
      <c r="A88" t="s">
        <v>106</v>
      </c>
      <c r="B88" s="2">
        <v>45610</v>
      </c>
      <c r="C88" t="s">
        <v>15</v>
      </c>
      <c r="D88" t="s">
        <v>16</v>
      </c>
      <c r="E88" t="s">
        <v>21</v>
      </c>
      <c r="F88">
        <v>9521.2099999999991</v>
      </c>
      <c r="G88">
        <v>9</v>
      </c>
      <c r="H88">
        <v>790.56</v>
      </c>
    </row>
    <row r="89" spans="1:8" x14ac:dyDescent="0.35">
      <c r="A89" t="s">
        <v>107</v>
      </c>
      <c r="B89" s="2">
        <v>45488</v>
      </c>
      <c r="C89" t="s">
        <v>18</v>
      </c>
      <c r="D89" t="s">
        <v>10</v>
      </c>
      <c r="E89" t="s">
        <v>21</v>
      </c>
      <c r="F89">
        <v>8047.37</v>
      </c>
      <c r="G89">
        <v>8</v>
      </c>
      <c r="H89">
        <v>719.82</v>
      </c>
    </row>
    <row r="90" spans="1:8" x14ac:dyDescent="0.35">
      <c r="A90" t="s">
        <v>108</v>
      </c>
      <c r="B90" s="2">
        <v>45192</v>
      </c>
      <c r="C90" t="s">
        <v>18</v>
      </c>
      <c r="D90" t="s">
        <v>10</v>
      </c>
      <c r="E90" t="s">
        <v>21</v>
      </c>
      <c r="F90">
        <v>3269.93</v>
      </c>
      <c r="G90">
        <v>4</v>
      </c>
      <c r="H90">
        <v>675.09</v>
      </c>
    </row>
    <row r="91" spans="1:8" x14ac:dyDescent="0.35">
      <c r="A91" t="s">
        <v>109</v>
      </c>
      <c r="B91" s="2">
        <v>45568</v>
      </c>
      <c r="C91" t="s">
        <v>25</v>
      </c>
      <c r="D91" t="s">
        <v>16</v>
      </c>
      <c r="E91" t="s">
        <v>21</v>
      </c>
      <c r="F91">
        <v>1059.47</v>
      </c>
      <c r="G91">
        <v>4</v>
      </c>
      <c r="H91">
        <v>234.19</v>
      </c>
    </row>
    <row r="92" spans="1:8" x14ac:dyDescent="0.35">
      <c r="A92" t="s">
        <v>110</v>
      </c>
      <c r="B92" s="2">
        <v>45205</v>
      </c>
      <c r="C92" t="s">
        <v>23</v>
      </c>
      <c r="D92" t="s">
        <v>16</v>
      </c>
      <c r="E92" t="s">
        <v>19</v>
      </c>
      <c r="F92">
        <v>2127.04</v>
      </c>
      <c r="G92">
        <v>6</v>
      </c>
      <c r="H92">
        <v>269.37</v>
      </c>
    </row>
    <row r="93" spans="1:8" x14ac:dyDescent="0.35">
      <c r="A93" t="s">
        <v>111</v>
      </c>
      <c r="B93" s="2">
        <v>45163</v>
      </c>
      <c r="C93" t="s">
        <v>15</v>
      </c>
      <c r="D93" t="s">
        <v>16</v>
      </c>
      <c r="E93" t="s">
        <v>19</v>
      </c>
      <c r="F93">
        <v>5432.05</v>
      </c>
      <c r="G93">
        <v>7</v>
      </c>
      <c r="H93">
        <v>561.28</v>
      </c>
    </row>
    <row r="94" spans="1:8" x14ac:dyDescent="0.35">
      <c r="A94" t="s">
        <v>112</v>
      </c>
      <c r="B94" s="2">
        <v>45344</v>
      </c>
      <c r="C94" t="s">
        <v>13</v>
      </c>
      <c r="D94" t="s">
        <v>10</v>
      </c>
      <c r="E94" t="s">
        <v>21</v>
      </c>
      <c r="F94">
        <v>3367.67</v>
      </c>
      <c r="G94">
        <v>6</v>
      </c>
      <c r="H94">
        <v>443.24</v>
      </c>
    </row>
    <row r="95" spans="1:8" x14ac:dyDescent="0.35">
      <c r="A95" t="s">
        <v>113</v>
      </c>
      <c r="B95" s="2">
        <v>45325</v>
      </c>
      <c r="C95" t="s">
        <v>15</v>
      </c>
      <c r="D95" t="s">
        <v>16</v>
      </c>
      <c r="E95" t="s">
        <v>21</v>
      </c>
      <c r="F95">
        <v>8396.4500000000007</v>
      </c>
      <c r="G95">
        <v>10</v>
      </c>
      <c r="H95">
        <v>757.93</v>
      </c>
    </row>
    <row r="96" spans="1:8" x14ac:dyDescent="0.35">
      <c r="A96" t="s">
        <v>114</v>
      </c>
      <c r="B96" s="2">
        <v>45415</v>
      </c>
      <c r="C96" t="s">
        <v>25</v>
      </c>
      <c r="D96" t="s">
        <v>16</v>
      </c>
      <c r="E96" t="s">
        <v>21</v>
      </c>
      <c r="F96">
        <v>921.1</v>
      </c>
      <c r="G96">
        <v>1</v>
      </c>
      <c r="H96">
        <v>755.34</v>
      </c>
    </row>
    <row r="97" spans="1:8" x14ac:dyDescent="0.35">
      <c r="A97" t="s">
        <v>115</v>
      </c>
      <c r="B97" s="2">
        <v>45478</v>
      </c>
      <c r="C97" t="s">
        <v>18</v>
      </c>
      <c r="D97" t="s">
        <v>10</v>
      </c>
      <c r="E97" t="s">
        <v>21</v>
      </c>
      <c r="F97">
        <v>8455.77</v>
      </c>
      <c r="G97">
        <v>9</v>
      </c>
      <c r="H97">
        <v>643.9</v>
      </c>
    </row>
    <row r="98" spans="1:8" x14ac:dyDescent="0.35">
      <c r="A98" t="s">
        <v>116</v>
      </c>
      <c r="B98" s="2">
        <v>45206</v>
      </c>
      <c r="C98" t="s">
        <v>18</v>
      </c>
      <c r="D98" t="s">
        <v>10</v>
      </c>
      <c r="E98" t="s">
        <v>19</v>
      </c>
      <c r="F98">
        <v>3504.97</v>
      </c>
      <c r="G98">
        <v>7</v>
      </c>
      <c r="H98">
        <v>398.8</v>
      </c>
    </row>
    <row r="99" spans="1:8" x14ac:dyDescent="0.35">
      <c r="A99" t="s">
        <v>117</v>
      </c>
      <c r="B99" s="2">
        <v>45096</v>
      </c>
      <c r="C99" t="s">
        <v>9</v>
      </c>
      <c r="D99" t="s">
        <v>10</v>
      </c>
      <c r="E99" t="s">
        <v>21</v>
      </c>
      <c r="F99">
        <v>8801.4</v>
      </c>
      <c r="G99">
        <v>8</v>
      </c>
      <c r="H99">
        <v>737.24</v>
      </c>
    </row>
    <row r="100" spans="1:8" x14ac:dyDescent="0.35">
      <c r="A100" t="s">
        <v>118</v>
      </c>
      <c r="B100" s="2">
        <v>45330</v>
      </c>
      <c r="C100" t="s">
        <v>25</v>
      </c>
      <c r="D100" t="s">
        <v>16</v>
      </c>
      <c r="E100" t="s">
        <v>11</v>
      </c>
      <c r="F100">
        <v>5112.42</v>
      </c>
      <c r="G100">
        <v>10</v>
      </c>
      <c r="H100">
        <v>460.23</v>
      </c>
    </row>
    <row r="101" spans="1:8" x14ac:dyDescent="0.35">
      <c r="A101" t="s">
        <v>119</v>
      </c>
      <c r="B101" s="2">
        <v>45065</v>
      </c>
      <c r="C101" t="s">
        <v>9</v>
      </c>
      <c r="D101" t="s">
        <v>10</v>
      </c>
      <c r="E101" t="s">
        <v>21</v>
      </c>
      <c r="F101">
        <v>1558.06</v>
      </c>
      <c r="G101">
        <v>8</v>
      </c>
      <c r="H101">
        <v>161.75</v>
      </c>
    </row>
    <row r="102" spans="1:8" x14ac:dyDescent="0.35">
      <c r="A102" t="s">
        <v>120</v>
      </c>
      <c r="B102" s="2">
        <v>45392</v>
      </c>
      <c r="C102" t="s">
        <v>23</v>
      </c>
      <c r="D102" t="s">
        <v>16</v>
      </c>
      <c r="E102" t="s">
        <v>19</v>
      </c>
      <c r="F102">
        <v>2467.4299999999998</v>
      </c>
      <c r="G102">
        <v>6</v>
      </c>
      <c r="H102">
        <v>283.25</v>
      </c>
    </row>
    <row r="103" spans="1:8" x14ac:dyDescent="0.35">
      <c r="A103" t="s">
        <v>121</v>
      </c>
      <c r="B103" s="2">
        <v>45185</v>
      </c>
      <c r="C103" t="s">
        <v>23</v>
      </c>
      <c r="D103" t="s">
        <v>16</v>
      </c>
      <c r="E103" t="s">
        <v>21</v>
      </c>
      <c r="F103">
        <v>1082.8499999999999</v>
      </c>
      <c r="G103">
        <v>2</v>
      </c>
      <c r="H103">
        <v>386.84</v>
      </c>
    </row>
    <row r="104" spans="1:8" x14ac:dyDescent="0.35">
      <c r="A104" t="s">
        <v>122</v>
      </c>
      <c r="B104" s="2">
        <v>45156</v>
      </c>
      <c r="C104" t="s">
        <v>13</v>
      </c>
      <c r="D104" t="s">
        <v>10</v>
      </c>
      <c r="E104" t="s">
        <v>26</v>
      </c>
      <c r="F104">
        <v>1712.74</v>
      </c>
      <c r="G104">
        <v>2</v>
      </c>
      <c r="H104">
        <v>629.36</v>
      </c>
    </row>
    <row r="105" spans="1:8" x14ac:dyDescent="0.35">
      <c r="A105" t="s">
        <v>123</v>
      </c>
      <c r="B105" s="2">
        <v>45131</v>
      </c>
      <c r="C105" t="s">
        <v>13</v>
      </c>
      <c r="D105" t="s">
        <v>10</v>
      </c>
      <c r="E105" t="s">
        <v>19</v>
      </c>
      <c r="F105">
        <v>603.26</v>
      </c>
      <c r="G105">
        <v>1</v>
      </c>
      <c r="H105">
        <v>504.64</v>
      </c>
    </row>
    <row r="106" spans="1:8" x14ac:dyDescent="0.35">
      <c r="A106" t="s">
        <v>124</v>
      </c>
      <c r="B106" s="2">
        <v>45504</v>
      </c>
      <c r="C106" t="s">
        <v>18</v>
      </c>
      <c r="D106" t="s">
        <v>10</v>
      </c>
      <c r="E106" t="s">
        <v>11</v>
      </c>
      <c r="F106">
        <v>1840.93</v>
      </c>
      <c r="G106">
        <v>4</v>
      </c>
      <c r="H106">
        <v>382.73</v>
      </c>
    </row>
    <row r="107" spans="1:8" x14ac:dyDescent="0.35">
      <c r="A107" t="s">
        <v>125</v>
      </c>
      <c r="B107" s="2">
        <v>45547</v>
      </c>
      <c r="C107" t="s">
        <v>23</v>
      </c>
      <c r="D107" t="s">
        <v>16</v>
      </c>
      <c r="E107" t="s">
        <v>19</v>
      </c>
      <c r="F107">
        <v>10706.26</v>
      </c>
      <c r="G107">
        <v>10</v>
      </c>
      <c r="H107">
        <v>771.71</v>
      </c>
    </row>
    <row r="108" spans="1:8" x14ac:dyDescent="0.35">
      <c r="A108" t="s">
        <v>126</v>
      </c>
      <c r="B108" s="2">
        <v>45037</v>
      </c>
      <c r="C108" t="s">
        <v>15</v>
      </c>
      <c r="D108" t="s">
        <v>16</v>
      </c>
      <c r="E108" t="s">
        <v>26</v>
      </c>
      <c r="F108">
        <v>490.28</v>
      </c>
      <c r="G108">
        <v>10</v>
      </c>
      <c r="H108">
        <v>40.03</v>
      </c>
    </row>
    <row r="109" spans="1:8" x14ac:dyDescent="0.35">
      <c r="A109" t="s">
        <v>127</v>
      </c>
      <c r="B109" s="2">
        <v>45333</v>
      </c>
      <c r="C109" t="s">
        <v>9</v>
      </c>
      <c r="D109" t="s">
        <v>10</v>
      </c>
      <c r="E109" t="s">
        <v>21</v>
      </c>
      <c r="F109">
        <v>436.44</v>
      </c>
      <c r="G109">
        <v>4</v>
      </c>
      <c r="H109">
        <v>79.28</v>
      </c>
    </row>
    <row r="110" spans="1:8" x14ac:dyDescent="0.35">
      <c r="A110" t="s">
        <v>128</v>
      </c>
      <c r="B110" s="2">
        <v>45031</v>
      </c>
      <c r="C110" t="s">
        <v>9</v>
      </c>
      <c r="D110" t="s">
        <v>10</v>
      </c>
      <c r="E110" t="s">
        <v>19</v>
      </c>
      <c r="F110">
        <v>4578.2</v>
      </c>
      <c r="G110">
        <v>5</v>
      </c>
      <c r="H110">
        <v>683.23</v>
      </c>
    </row>
    <row r="111" spans="1:8" x14ac:dyDescent="0.35">
      <c r="A111" t="s">
        <v>129</v>
      </c>
      <c r="B111" s="2">
        <v>45282</v>
      </c>
      <c r="C111" t="s">
        <v>13</v>
      </c>
      <c r="D111" t="s">
        <v>10</v>
      </c>
      <c r="E111" t="s">
        <v>11</v>
      </c>
      <c r="F111">
        <v>3978.32</v>
      </c>
      <c r="G111">
        <v>9</v>
      </c>
      <c r="H111">
        <v>354.13</v>
      </c>
    </row>
    <row r="112" spans="1:8" x14ac:dyDescent="0.35">
      <c r="A112" t="s">
        <v>130</v>
      </c>
      <c r="B112" s="2">
        <v>44939</v>
      </c>
      <c r="C112" t="s">
        <v>25</v>
      </c>
      <c r="D112" t="s">
        <v>16</v>
      </c>
      <c r="E112" t="s">
        <v>26</v>
      </c>
      <c r="F112">
        <v>5288.39</v>
      </c>
      <c r="G112">
        <v>7</v>
      </c>
      <c r="H112">
        <v>661.42</v>
      </c>
    </row>
    <row r="113" spans="1:8" x14ac:dyDescent="0.35">
      <c r="A113" t="s">
        <v>131</v>
      </c>
      <c r="B113" s="2">
        <v>45651</v>
      </c>
      <c r="C113" t="s">
        <v>23</v>
      </c>
      <c r="D113" t="s">
        <v>16</v>
      </c>
      <c r="E113" t="s">
        <v>21</v>
      </c>
      <c r="F113">
        <v>1503.66</v>
      </c>
      <c r="G113">
        <v>3</v>
      </c>
      <c r="H113">
        <v>359.68</v>
      </c>
    </row>
    <row r="114" spans="1:8" x14ac:dyDescent="0.35">
      <c r="A114" t="s">
        <v>132</v>
      </c>
      <c r="B114" s="2">
        <v>45557</v>
      </c>
      <c r="C114" t="s">
        <v>9</v>
      </c>
      <c r="D114" t="s">
        <v>10</v>
      </c>
      <c r="E114" t="s">
        <v>26</v>
      </c>
      <c r="F114">
        <v>7224.44</v>
      </c>
      <c r="G114">
        <v>9</v>
      </c>
      <c r="H114">
        <v>624.22</v>
      </c>
    </row>
    <row r="115" spans="1:8" x14ac:dyDescent="0.35">
      <c r="A115" t="s">
        <v>133</v>
      </c>
      <c r="B115" s="2">
        <v>45257</v>
      </c>
      <c r="C115" t="s">
        <v>9</v>
      </c>
      <c r="D115" t="s">
        <v>10</v>
      </c>
      <c r="E115" t="s">
        <v>26</v>
      </c>
      <c r="F115">
        <v>3031.69</v>
      </c>
      <c r="G115">
        <v>4</v>
      </c>
      <c r="H115">
        <v>667.97</v>
      </c>
    </row>
    <row r="116" spans="1:8" x14ac:dyDescent="0.35">
      <c r="A116" t="s">
        <v>134</v>
      </c>
      <c r="B116" s="2">
        <v>45402</v>
      </c>
      <c r="C116" t="s">
        <v>18</v>
      </c>
      <c r="D116" t="s">
        <v>10</v>
      </c>
      <c r="E116" t="s">
        <v>19</v>
      </c>
      <c r="F116">
        <v>6208.67</v>
      </c>
      <c r="G116">
        <v>10</v>
      </c>
      <c r="H116">
        <v>496.06</v>
      </c>
    </row>
    <row r="117" spans="1:8" x14ac:dyDescent="0.35">
      <c r="A117" t="s">
        <v>135</v>
      </c>
      <c r="B117" s="2">
        <v>45259</v>
      </c>
      <c r="C117" t="s">
        <v>13</v>
      </c>
      <c r="D117" t="s">
        <v>10</v>
      </c>
      <c r="E117" t="s">
        <v>21</v>
      </c>
      <c r="F117">
        <v>1491.4</v>
      </c>
      <c r="G117">
        <v>3</v>
      </c>
      <c r="H117">
        <v>400.29</v>
      </c>
    </row>
    <row r="118" spans="1:8" x14ac:dyDescent="0.35">
      <c r="A118" t="s">
        <v>136</v>
      </c>
      <c r="B118" s="2">
        <v>45213</v>
      </c>
      <c r="C118" t="s">
        <v>23</v>
      </c>
      <c r="D118" t="s">
        <v>16</v>
      </c>
      <c r="E118" t="s">
        <v>26</v>
      </c>
      <c r="F118">
        <v>6862.61</v>
      </c>
      <c r="G118">
        <v>10</v>
      </c>
      <c r="H118">
        <v>566.91999999999996</v>
      </c>
    </row>
    <row r="119" spans="1:8" x14ac:dyDescent="0.35">
      <c r="A119" t="s">
        <v>137</v>
      </c>
      <c r="B119" s="2">
        <v>45014</v>
      </c>
      <c r="C119" t="s">
        <v>13</v>
      </c>
      <c r="D119" t="s">
        <v>10</v>
      </c>
      <c r="E119" t="s">
        <v>19</v>
      </c>
      <c r="F119">
        <v>3014</v>
      </c>
      <c r="G119">
        <v>4</v>
      </c>
      <c r="H119">
        <v>581.66</v>
      </c>
    </row>
    <row r="120" spans="1:8" x14ac:dyDescent="0.35">
      <c r="A120" t="s">
        <v>138</v>
      </c>
      <c r="B120" s="2">
        <v>45588</v>
      </c>
      <c r="C120" t="s">
        <v>15</v>
      </c>
      <c r="D120" t="s">
        <v>16</v>
      </c>
      <c r="E120" t="s">
        <v>21</v>
      </c>
      <c r="F120">
        <v>3272.7</v>
      </c>
      <c r="G120">
        <v>8</v>
      </c>
      <c r="H120">
        <v>369.58</v>
      </c>
    </row>
    <row r="121" spans="1:8" x14ac:dyDescent="0.35">
      <c r="A121" t="s">
        <v>139</v>
      </c>
      <c r="B121" s="2">
        <v>45341</v>
      </c>
      <c r="C121" t="s">
        <v>23</v>
      </c>
      <c r="D121" t="s">
        <v>16</v>
      </c>
      <c r="E121" t="s">
        <v>19</v>
      </c>
      <c r="F121">
        <v>1379.74</v>
      </c>
      <c r="G121">
        <v>4</v>
      </c>
      <c r="H121">
        <v>258.83999999999997</v>
      </c>
    </row>
    <row r="122" spans="1:8" x14ac:dyDescent="0.35">
      <c r="A122" t="s">
        <v>140</v>
      </c>
      <c r="B122" s="2">
        <v>45362</v>
      </c>
      <c r="C122" t="s">
        <v>18</v>
      </c>
      <c r="D122" t="s">
        <v>10</v>
      </c>
      <c r="E122" t="s">
        <v>26</v>
      </c>
      <c r="F122">
        <v>3455.87</v>
      </c>
      <c r="G122">
        <v>9</v>
      </c>
      <c r="H122">
        <v>278.02</v>
      </c>
    </row>
    <row r="123" spans="1:8" x14ac:dyDescent="0.35">
      <c r="A123" t="s">
        <v>141</v>
      </c>
      <c r="B123" s="2">
        <v>45184</v>
      </c>
      <c r="C123" t="s">
        <v>23</v>
      </c>
      <c r="D123" t="s">
        <v>16</v>
      </c>
      <c r="E123" t="s">
        <v>26</v>
      </c>
      <c r="F123">
        <v>537.25</v>
      </c>
      <c r="G123">
        <v>4</v>
      </c>
      <c r="H123">
        <v>114.11</v>
      </c>
    </row>
    <row r="124" spans="1:8" x14ac:dyDescent="0.35">
      <c r="A124" t="s">
        <v>142</v>
      </c>
      <c r="B124" s="2">
        <v>45123</v>
      </c>
      <c r="C124" t="s">
        <v>13</v>
      </c>
      <c r="D124" t="s">
        <v>10</v>
      </c>
      <c r="E124" t="s">
        <v>19</v>
      </c>
      <c r="F124">
        <v>2886.6</v>
      </c>
      <c r="G124">
        <v>4</v>
      </c>
      <c r="H124">
        <v>596.11</v>
      </c>
    </row>
    <row r="125" spans="1:8" x14ac:dyDescent="0.35">
      <c r="A125" t="s">
        <v>143</v>
      </c>
      <c r="B125" s="2">
        <v>45029</v>
      </c>
      <c r="C125" t="s">
        <v>25</v>
      </c>
      <c r="D125" t="s">
        <v>16</v>
      </c>
      <c r="E125" t="s">
        <v>26</v>
      </c>
      <c r="F125">
        <v>1249.68</v>
      </c>
      <c r="G125">
        <v>4</v>
      </c>
      <c r="H125">
        <v>251.07</v>
      </c>
    </row>
    <row r="126" spans="1:8" x14ac:dyDescent="0.35">
      <c r="A126" t="s">
        <v>144</v>
      </c>
      <c r="B126" s="2">
        <v>45652</v>
      </c>
      <c r="C126" t="s">
        <v>23</v>
      </c>
      <c r="D126" t="s">
        <v>16</v>
      </c>
      <c r="E126" t="s">
        <v>11</v>
      </c>
      <c r="F126">
        <v>1194.8800000000001</v>
      </c>
      <c r="G126">
        <v>9</v>
      </c>
      <c r="H126">
        <v>118.73</v>
      </c>
    </row>
    <row r="127" spans="1:8" x14ac:dyDescent="0.35">
      <c r="A127" t="s">
        <v>145</v>
      </c>
      <c r="B127" s="2">
        <v>45641</v>
      </c>
      <c r="C127" t="s">
        <v>13</v>
      </c>
      <c r="D127" t="s">
        <v>10</v>
      </c>
      <c r="E127" t="s">
        <v>26</v>
      </c>
      <c r="F127">
        <v>2175.4</v>
      </c>
      <c r="G127">
        <v>3</v>
      </c>
      <c r="H127">
        <v>517.54</v>
      </c>
    </row>
    <row r="128" spans="1:8" x14ac:dyDescent="0.35">
      <c r="A128" t="s">
        <v>146</v>
      </c>
      <c r="B128" s="2">
        <v>45514</v>
      </c>
      <c r="C128" t="s">
        <v>13</v>
      </c>
      <c r="D128" t="s">
        <v>10</v>
      </c>
      <c r="E128" t="s">
        <v>11</v>
      </c>
      <c r="F128">
        <v>2463.87</v>
      </c>
      <c r="G128">
        <v>5</v>
      </c>
      <c r="H128">
        <v>386.13</v>
      </c>
    </row>
    <row r="129" spans="1:8" x14ac:dyDescent="0.35">
      <c r="A129" t="s">
        <v>147</v>
      </c>
      <c r="B129" s="2">
        <v>45185</v>
      </c>
      <c r="C129" t="s">
        <v>15</v>
      </c>
      <c r="D129" t="s">
        <v>16</v>
      </c>
      <c r="E129" t="s">
        <v>11</v>
      </c>
      <c r="F129">
        <v>981.9</v>
      </c>
      <c r="G129">
        <v>8</v>
      </c>
      <c r="H129">
        <v>108.99</v>
      </c>
    </row>
    <row r="130" spans="1:8" x14ac:dyDescent="0.35">
      <c r="A130" t="s">
        <v>148</v>
      </c>
      <c r="B130" s="2">
        <v>45517</v>
      </c>
      <c r="C130" t="s">
        <v>18</v>
      </c>
      <c r="D130" t="s">
        <v>10</v>
      </c>
      <c r="E130" t="s">
        <v>11</v>
      </c>
      <c r="F130">
        <v>197.07</v>
      </c>
      <c r="G130">
        <v>1</v>
      </c>
      <c r="H130">
        <v>138.35</v>
      </c>
    </row>
    <row r="131" spans="1:8" x14ac:dyDescent="0.35">
      <c r="A131" t="s">
        <v>149</v>
      </c>
      <c r="B131" s="2">
        <v>45181</v>
      </c>
      <c r="C131" t="s">
        <v>23</v>
      </c>
      <c r="D131" t="s">
        <v>16</v>
      </c>
      <c r="E131" t="s">
        <v>11</v>
      </c>
      <c r="F131">
        <v>1153.25</v>
      </c>
      <c r="G131">
        <v>2</v>
      </c>
      <c r="H131">
        <v>455.3</v>
      </c>
    </row>
    <row r="132" spans="1:8" x14ac:dyDescent="0.35">
      <c r="A132" t="s">
        <v>150</v>
      </c>
      <c r="B132" s="2">
        <v>45462</v>
      </c>
      <c r="C132" t="s">
        <v>25</v>
      </c>
      <c r="D132" t="s">
        <v>16</v>
      </c>
      <c r="E132" t="s">
        <v>19</v>
      </c>
      <c r="F132">
        <v>3320.17</v>
      </c>
      <c r="G132">
        <v>7</v>
      </c>
      <c r="H132">
        <v>371.4</v>
      </c>
    </row>
    <row r="133" spans="1:8" x14ac:dyDescent="0.35">
      <c r="A133" t="s">
        <v>151</v>
      </c>
      <c r="B133" s="2">
        <v>45239</v>
      </c>
      <c r="C133" t="s">
        <v>25</v>
      </c>
      <c r="D133" t="s">
        <v>16</v>
      </c>
      <c r="E133" t="s">
        <v>21</v>
      </c>
      <c r="F133">
        <v>6778.39</v>
      </c>
      <c r="G133">
        <v>10</v>
      </c>
      <c r="H133">
        <v>504.4</v>
      </c>
    </row>
    <row r="134" spans="1:8" x14ac:dyDescent="0.35">
      <c r="A134" t="s">
        <v>152</v>
      </c>
      <c r="B134" s="2">
        <v>45139</v>
      </c>
      <c r="C134" t="s">
        <v>9</v>
      </c>
      <c r="D134" t="s">
        <v>10</v>
      </c>
      <c r="E134" t="s">
        <v>11</v>
      </c>
      <c r="F134">
        <v>1025.6600000000001</v>
      </c>
      <c r="G134">
        <v>4</v>
      </c>
      <c r="H134">
        <v>226.42</v>
      </c>
    </row>
    <row r="135" spans="1:8" x14ac:dyDescent="0.35">
      <c r="A135" t="s">
        <v>153</v>
      </c>
      <c r="B135" s="2">
        <v>45492</v>
      </c>
      <c r="C135" t="s">
        <v>15</v>
      </c>
      <c r="D135" t="s">
        <v>16</v>
      </c>
      <c r="E135" t="s">
        <v>19</v>
      </c>
      <c r="F135">
        <v>359.06</v>
      </c>
      <c r="G135">
        <v>2</v>
      </c>
      <c r="H135">
        <v>142.1</v>
      </c>
    </row>
    <row r="136" spans="1:8" x14ac:dyDescent="0.35">
      <c r="A136" t="s">
        <v>154</v>
      </c>
      <c r="B136" s="2">
        <v>45225</v>
      </c>
      <c r="C136" t="s">
        <v>9</v>
      </c>
      <c r="D136" t="s">
        <v>10</v>
      </c>
      <c r="E136" t="s">
        <v>21</v>
      </c>
      <c r="F136">
        <v>277.32</v>
      </c>
      <c r="G136">
        <v>1</v>
      </c>
      <c r="H136">
        <v>200.55</v>
      </c>
    </row>
    <row r="137" spans="1:8" x14ac:dyDescent="0.35">
      <c r="A137" t="s">
        <v>155</v>
      </c>
      <c r="B137" s="2">
        <v>44999</v>
      </c>
      <c r="C137" t="s">
        <v>9</v>
      </c>
      <c r="D137" t="s">
        <v>10</v>
      </c>
      <c r="E137" t="s">
        <v>21</v>
      </c>
      <c r="F137">
        <v>4192.47</v>
      </c>
      <c r="G137">
        <v>4</v>
      </c>
      <c r="H137">
        <v>740.65</v>
      </c>
    </row>
    <row r="138" spans="1:8" x14ac:dyDescent="0.35">
      <c r="A138" t="s">
        <v>156</v>
      </c>
      <c r="B138" s="2">
        <v>45362</v>
      </c>
      <c r="C138" t="s">
        <v>9</v>
      </c>
      <c r="D138" t="s">
        <v>10</v>
      </c>
      <c r="E138" t="s">
        <v>19</v>
      </c>
      <c r="F138">
        <v>1208.9100000000001</v>
      </c>
      <c r="G138">
        <v>2</v>
      </c>
      <c r="H138">
        <v>444.76</v>
      </c>
    </row>
    <row r="139" spans="1:8" x14ac:dyDescent="0.35">
      <c r="A139" t="s">
        <v>157</v>
      </c>
      <c r="B139" s="2">
        <v>45000</v>
      </c>
      <c r="C139" t="s">
        <v>23</v>
      </c>
      <c r="D139" t="s">
        <v>16</v>
      </c>
      <c r="E139" t="s">
        <v>19</v>
      </c>
      <c r="F139">
        <v>182.75</v>
      </c>
      <c r="G139">
        <v>1</v>
      </c>
      <c r="H139">
        <v>149.41999999999999</v>
      </c>
    </row>
    <row r="140" spans="1:8" x14ac:dyDescent="0.35">
      <c r="A140" t="s">
        <v>158</v>
      </c>
      <c r="B140" s="2">
        <v>45376</v>
      </c>
      <c r="C140" t="s">
        <v>9</v>
      </c>
      <c r="D140" t="s">
        <v>10</v>
      </c>
      <c r="E140" t="s">
        <v>26</v>
      </c>
      <c r="F140">
        <v>942.08</v>
      </c>
      <c r="G140">
        <v>2</v>
      </c>
      <c r="H140">
        <v>385.58</v>
      </c>
    </row>
    <row r="141" spans="1:8" x14ac:dyDescent="0.35">
      <c r="A141" t="s">
        <v>159</v>
      </c>
      <c r="B141" s="2">
        <v>45439</v>
      </c>
      <c r="C141" t="s">
        <v>18</v>
      </c>
      <c r="D141" t="s">
        <v>10</v>
      </c>
      <c r="E141" t="s">
        <v>26</v>
      </c>
      <c r="F141">
        <v>4128.41</v>
      </c>
      <c r="G141">
        <v>9</v>
      </c>
      <c r="H141">
        <v>405.16</v>
      </c>
    </row>
    <row r="142" spans="1:8" x14ac:dyDescent="0.35">
      <c r="A142" t="s">
        <v>160</v>
      </c>
      <c r="B142" s="2">
        <v>45257</v>
      </c>
      <c r="C142" t="s">
        <v>13</v>
      </c>
      <c r="D142" t="s">
        <v>10</v>
      </c>
      <c r="E142" t="s">
        <v>21</v>
      </c>
      <c r="F142">
        <v>2446.84</v>
      </c>
      <c r="G142">
        <v>10</v>
      </c>
      <c r="H142">
        <v>215.29</v>
      </c>
    </row>
    <row r="143" spans="1:8" x14ac:dyDescent="0.35">
      <c r="A143" t="s">
        <v>161</v>
      </c>
      <c r="B143" s="2">
        <v>45615</v>
      </c>
      <c r="C143" t="s">
        <v>9</v>
      </c>
      <c r="D143" t="s">
        <v>10</v>
      </c>
      <c r="E143" t="s">
        <v>11</v>
      </c>
      <c r="F143">
        <v>3298.6</v>
      </c>
      <c r="G143">
        <v>5</v>
      </c>
      <c r="H143">
        <v>469.47</v>
      </c>
    </row>
    <row r="144" spans="1:8" x14ac:dyDescent="0.35">
      <c r="A144" t="s">
        <v>162</v>
      </c>
      <c r="B144" s="2">
        <v>45458</v>
      </c>
      <c r="C144" t="s">
        <v>15</v>
      </c>
      <c r="D144" t="s">
        <v>16</v>
      </c>
      <c r="E144" t="s">
        <v>21</v>
      </c>
      <c r="F144">
        <v>6890.55</v>
      </c>
      <c r="G144">
        <v>8</v>
      </c>
      <c r="H144">
        <v>734.54</v>
      </c>
    </row>
    <row r="145" spans="1:8" x14ac:dyDescent="0.35">
      <c r="A145" t="s">
        <v>163</v>
      </c>
      <c r="B145" s="2">
        <v>45577</v>
      </c>
      <c r="C145" t="s">
        <v>25</v>
      </c>
      <c r="D145" t="s">
        <v>16</v>
      </c>
      <c r="E145" t="s">
        <v>21</v>
      </c>
      <c r="F145">
        <v>7994.49</v>
      </c>
      <c r="G145">
        <v>8</v>
      </c>
      <c r="H145">
        <v>775.86</v>
      </c>
    </row>
    <row r="146" spans="1:8" x14ac:dyDescent="0.35">
      <c r="A146" t="s">
        <v>164</v>
      </c>
      <c r="B146" s="2">
        <v>45255</v>
      </c>
      <c r="C146" t="s">
        <v>18</v>
      </c>
      <c r="D146" t="s">
        <v>10</v>
      </c>
      <c r="E146" t="s">
        <v>26</v>
      </c>
      <c r="F146">
        <v>1697.66</v>
      </c>
      <c r="G146">
        <v>2</v>
      </c>
      <c r="H146">
        <v>689.03</v>
      </c>
    </row>
    <row r="147" spans="1:8" x14ac:dyDescent="0.35">
      <c r="A147" t="s">
        <v>165</v>
      </c>
      <c r="B147" s="2">
        <v>45222</v>
      </c>
      <c r="C147" t="s">
        <v>9</v>
      </c>
      <c r="D147" t="s">
        <v>10</v>
      </c>
      <c r="E147" t="s">
        <v>21</v>
      </c>
      <c r="F147">
        <v>6048.5</v>
      </c>
      <c r="G147">
        <v>7</v>
      </c>
      <c r="H147">
        <v>654.58000000000004</v>
      </c>
    </row>
    <row r="148" spans="1:8" x14ac:dyDescent="0.35">
      <c r="A148" t="s">
        <v>166</v>
      </c>
      <c r="B148" s="2">
        <v>45249</v>
      </c>
      <c r="C148" t="s">
        <v>18</v>
      </c>
      <c r="D148" t="s">
        <v>10</v>
      </c>
      <c r="E148" t="s">
        <v>11</v>
      </c>
      <c r="F148">
        <v>2024.9</v>
      </c>
      <c r="G148">
        <v>5</v>
      </c>
      <c r="H148">
        <v>272.14999999999998</v>
      </c>
    </row>
    <row r="149" spans="1:8" x14ac:dyDescent="0.35">
      <c r="A149" t="s">
        <v>167</v>
      </c>
      <c r="B149" s="2">
        <v>45600</v>
      </c>
      <c r="C149" t="s">
        <v>18</v>
      </c>
      <c r="D149" t="s">
        <v>10</v>
      </c>
      <c r="E149" t="s">
        <v>11</v>
      </c>
      <c r="F149">
        <v>3839.58</v>
      </c>
      <c r="G149">
        <v>9</v>
      </c>
      <c r="H149">
        <v>380.34</v>
      </c>
    </row>
    <row r="150" spans="1:8" x14ac:dyDescent="0.35">
      <c r="A150" t="s">
        <v>168</v>
      </c>
      <c r="B150" s="2">
        <v>45564</v>
      </c>
      <c r="C150" t="s">
        <v>25</v>
      </c>
      <c r="D150" t="s">
        <v>16</v>
      </c>
      <c r="E150" t="s">
        <v>26</v>
      </c>
      <c r="F150">
        <v>5703.82</v>
      </c>
      <c r="G150">
        <v>8</v>
      </c>
      <c r="H150">
        <v>507.82</v>
      </c>
    </row>
    <row r="151" spans="1:8" x14ac:dyDescent="0.35">
      <c r="A151" t="s">
        <v>169</v>
      </c>
      <c r="B151" s="2">
        <v>45489</v>
      </c>
      <c r="C151" t="s">
        <v>15</v>
      </c>
      <c r="D151" t="s">
        <v>16</v>
      </c>
      <c r="E151" t="s">
        <v>26</v>
      </c>
      <c r="F151">
        <v>2844.74</v>
      </c>
      <c r="G151">
        <v>3</v>
      </c>
      <c r="H151">
        <v>743.58</v>
      </c>
    </row>
    <row r="152" spans="1:8" x14ac:dyDescent="0.35">
      <c r="A152" t="s">
        <v>170</v>
      </c>
      <c r="B152" s="2">
        <v>45051</v>
      </c>
      <c r="C152" t="s">
        <v>9</v>
      </c>
      <c r="D152" t="s">
        <v>10</v>
      </c>
      <c r="E152" t="s">
        <v>21</v>
      </c>
      <c r="F152">
        <v>1046.69</v>
      </c>
      <c r="G152">
        <v>1</v>
      </c>
      <c r="H152">
        <v>779.05</v>
      </c>
    </row>
    <row r="153" spans="1:8" x14ac:dyDescent="0.35">
      <c r="A153" t="s">
        <v>171</v>
      </c>
      <c r="B153" s="2">
        <v>45245</v>
      </c>
      <c r="C153" t="s">
        <v>15</v>
      </c>
      <c r="D153" t="s">
        <v>16</v>
      </c>
      <c r="E153" t="s">
        <v>19</v>
      </c>
      <c r="F153">
        <v>348.68</v>
      </c>
      <c r="G153">
        <v>9</v>
      </c>
      <c r="H153">
        <v>30.67</v>
      </c>
    </row>
    <row r="154" spans="1:8" x14ac:dyDescent="0.35">
      <c r="A154" t="s">
        <v>172</v>
      </c>
      <c r="B154" s="2">
        <v>45399</v>
      </c>
      <c r="C154" t="s">
        <v>15</v>
      </c>
      <c r="D154" t="s">
        <v>16</v>
      </c>
      <c r="E154" t="s">
        <v>11</v>
      </c>
      <c r="F154">
        <v>1220.1600000000001</v>
      </c>
      <c r="G154">
        <v>2</v>
      </c>
      <c r="H154">
        <v>525.21</v>
      </c>
    </row>
    <row r="155" spans="1:8" x14ac:dyDescent="0.35">
      <c r="A155" t="s">
        <v>173</v>
      </c>
      <c r="B155" s="2">
        <v>45448</v>
      </c>
      <c r="C155" t="s">
        <v>9</v>
      </c>
      <c r="D155" t="s">
        <v>10</v>
      </c>
      <c r="E155" t="s">
        <v>26</v>
      </c>
      <c r="F155">
        <v>2224.48</v>
      </c>
      <c r="G155">
        <v>5</v>
      </c>
      <c r="H155">
        <v>344.08</v>
      </c>
    </row>
    <row r="156" spans="1:8" x14ac:dyDescent="0.35">
      <c r="A156" t="s">
        <v>174</v>
      </c>
      <c r="B156" s="2">
        <v>45394</v>
      </c>
      <c r="C156" t="s">
        <v>18</v>
      </c>
      <c r="D156" t="s">
        <v>10</v>
      </c>
      <c r="E156" t="s">
        <v>19</v>
      </c>
      <c r="F156">
        <v>1406.06</v>
      </c>
      <c r="G156">
        <v>9</v>
      </c>
      <c r="H156">
        <v>132.82</v>
      </c>
    </row>
    <row r="157" spans="1:8" x14ac:dyDescent="0.35">
      <c r="A157" t="s">
        <v>175</v>
      </c>
      <c r="B157" s="2">
        <v>44998</v>
      </c>
      <c r="C157" t="s">
        <v>25</v>
      </c>
      <c r="D157" t="s">
        <v>16</v>
      </c>
      <c r="E157" t="s">
        <v>19</v>
      </c>
      <c r="F157">
        <v>4488.8599999999997</v>
      </c>
      <c r="G157">
        <v>5</v>
      </c>
      <c r="H157">
        <v>622.69000000000005</v>
      </c>
    </row>
    <row r="158" spans="1:8" x14ac:dyDescent="0.35">
      <c r="A158" t="s">
        <v>176</v>
      </c>
      <c r="B158" s="2">
        <v>44929</v>
      </c>
      <c r="C158" t="s">
        <v>23</v>
      </c>
      <c r="D158" t="s">
        <v>16</v>
      </c>
      <c r="E158" t="s">
        <v>26</v>
      </c>
      <c r="F158">
        <v>4206.82</v>
      </c>
      <c r="G158">
        <v>5</v>
      </c>
      <c r="H158">
        <v>586.32000000000005</v>
      </c>
    </row>
    <row r="159" spans="1:8" x14ac:dyDescent="0.35">
      <c r="A159" t="s">
        <v>177</v>
      </c>
      <c r="B159" s="2">
        <v>45079</v>
      </c>
      <c r="C159" t="s">
        <v>25</v>
      </c>
      <c r="D159" t="s">
        <v>16</v>
      </c>
      <c r="E159" t="s">
        <v>21</v>
      </c>
      <c r="F159">
        <v>4358.83</v>
      </c>
      <c r="G159">
        <v>8</v>
      </c>
      <c r="H159">
        <v>440.09</v>
      </c>
    </row>
    <row r="160" spans="1:8" x14ac:dyDescent="0.35">
      <c r="A160" t="s">
        <v>178</v>
      </c>
      <c r="B160" s="2">
        <v>45393</v>
      </c>
      <c r="C160" t="s">
        <v>25</v>
      </c>
      <c r="D160" t="s">
        <v>16</v>
      </c>
      <c r="E160" t="s">
        <v>21</v>
      </c>
      <c r="F160">
        <v>6252.39</v>
      </c>
      <c r="G160">
        <v>6</v>
      </c>
      <c r="H160">
        <v>698.29</v>
      </c>
    </row>
    <row r="161" spans="1:8" x14ac:dyDescent="0.35">
      <c r="A161" t="s">
        <v>179</v>
      </c>
      <c r="B161" s="2">
        <v>45166</v>
      </c>
      <c r="C161" t="s">
        <v>15</v>
      </c>
      <c r="D161" t="s">
        <v>16</v>
      </c>
      <c r="E161" t="s">
        <v>21</v>
      </c>
      <c r="F161">
        <v>528.79</v>
      </c>
      <c r="G161">
        <v>7</v>
      </c>
      <c r="H161">
        <v>54.04</v>
      </c>
    </row>
    <row r="162" spans="1:8" x14ac:dyDescent="0.35">
      <c r="A162" t="s">
        <v>180</v>
      </c>
      <c r="B162" s="2">
        <v>45322</v>
      </c>
      <c r="C162" t="s">
        <v>9</v>
      </c>
      <c r="D162" t="s">
        <v>10</v>
      </c>
      <c r="E162" t="s">
        <v>21</v>
      </c>
      <c r="F162">
        <v>1359.04</v>
      </c>
      <c r="G162">
        <v>3</v>
      </c>
      <c r="H162">
        <v>406.36</v>
      </c>
    </row>
    <row r="163" spans="1:8" x14ac:dyDescent="0.35">
      <c r="A163" t="s">
        <v>181</v>
      </c>
      <c r="B163" s="2">
        <v>45029</v>
      </c>
      <c r="C163" t="s">
        <v>25</v>
      </c>
      <c r="D163" t="s">
        <v>16</v>
      </c>
      <c r="E163" t="s">
        <v>26</v>
      </c>
      <c r="F163">
        <v>1145.3399999999999</v>
      </c>
      <c r="G163">
        <v>8</v>
      </c>
      <c r="H163">
        <v>97.78</v>
      </c>
    </row>
    <row r="164" spans="1:8" x14ac:dyDescent="0.35">
      <c r="A164" t="s">
        <v>182</v>
      </c>
      <c r="B164" s="2">
        <v>45346</v>
      </c>
      <c r="C164" t="s">
        <v>13</v>
      </c>
      <c r="D164" t="s">
        <v>10</v>
      </c>
      <c r="E164" t="s">
        <v>19</v>
      </c>
      <c r="F164">
        <v>332.12</v>
      </c>
      <c r="G164">
        <v>3</v>
      </c>
      <c r="H164">
        <v>78.37</v>
      </c>
    </row>
    <row r="165" spans="1:8" x14ac:dyDescent="0.35">
      <c r="A165" t="s">
        <v>183</v>
      </c>
      <c r="B165" s="2">
        <v>45565</v>
      </c>
      <c r="C165" t="s">
        <v>23</v>
      </c>
      <c r="D165" t="s">
        <v>16</v>
      </c>
      <c r="E165" t="s">
        <v>26</v>
      </c>
      <c r="F165">
        <v>5313.45</v>
      </c>
      <c r="G165">
        <v>7</v>
      </c>
      <c r="H165">
        <v>526.87</v>
      </c>
    </row>
    <row r="166" spans="1:8" x14ac:dyDescent="0.35">
      <c r="A166" t="s">
        <v>184</v>
      </c>
      <c r="B166" s="2">
        <v>45251</v>
      </c>
      <c r="C166" t="s">
        <v>9</v>
      </c>
      <c r="D166" t="s">
        <v>10</v>
      </c>
      <c r="E166" t="s">
        <v>21</v>
      </c>
      <c r="F166">
        <v>6244.51</v>
      </c>
      <c r="G166">
        <v>8</v>
      </c>
      <c r="H166">
        <v>700.46</v>
      </c>
    </row>
    <row r="167" spans="1:8" x14ac:dyDescent="0.35">
      <c r="A167" t="s">
        <v>185</v>
      </c>
      <c r="B167" s="2">
        <v>45573</v>
      </c>
      <c r="C167" t="s">
        <v>13</v>
      </c>
      <c r="D167" t="s">
        <v>10</v>
      </c>
      <c r="E167" t="s">
        <v>19</v>
      </c>
      <c r="F167">
        <v>5580.77</v>
      </c>
      <c r="G167">
        <v>5</v>
      </c>
      <c r="H167">
        <v>797.99</v>
      </c>
    </row>
    <row r="168" spans="1:8" x14ac:dyDescent="0.35">
      <c r="A168" t="s">
        <v>186</v>
      </c>
      <c r="B168" s="2">
        <v>45575</v>
      </c>
      <c r="C168" t="s">
        <v>18</v>
      </c>
      <c r="D168" t="s">
        <v>10</v>
      </c>
      <c r="E168" t="s">
        <v>11</v>
      </c>
      <c r="F168">
        <v>1008.6</v>
      </c>
      <c r="G168">
        <v>2</v>
      </c>
      <c r="H168">
        <v>366.07</v>
      </c>
    </row>
    <row r="169" spans="1:8" x14ac:dyDescent="0.35">
      <c r="A169" t="s">
        <v>187</v>
      </c>
      <c r="B169" s="2">
        <v>45259</v>
      </c>
      <c r="C169" t="s">
        <v>13</v>
      </c>
      <c r="D169" t="s">
        <v>10</v>
      </c>
      <c r="E169" t="s">
        <v>11</v>
      </c>
      <c r="F169">
        <v>311.02</v>
      </c>
      <c r="G169">
        <v>1</v>
      </c>
      <c r="H169">
        <v>248.83</v>
      </c>
    </row>
    <row r="170" spans="1:8" x14ac:dyDescent="0.35">
      <c r="A170" t="s">
        <v>188</v>
      </c>
      <c r="B170" s="2">
        <v>45470</v>
      </c>
      <c r="C170" t="s">
        <v>15</v>
      </c>
      <c r="D170" t="s">
        <v>16</v>
      </c>
      <c r="E170" t="s">
        <v>19</v>
      </c>
      <c r="F170">
        <v>4576.8500000000004</v>
      </c>
      <c r="G170">
        <v>7</v>
      </c>
      <c r="H170">
        <v>461.42</v>
      </c>
    </row>
    <row r="171" spans="1:8" x14ac:dyDescent="0.35">
      <c r="A171" t="s">
        <v>189</v>
      </c>
      <c r="B171" s="2">
        <v>45007</v>
      </c>
      <c r="C171" t="s">
        <v>15</v>
      </c>
      <c r="D171" t="s">
        <v>16</v>
      </c>
      <c r="E171" t="s">
        <v>19</v>
      </c>
      <c r="F171">
        <v>9425.08</v>
      </c>
      <c r="G171">
        <v>10</v>
      </c>
      <c r="H171">
        <v>699.25</v>
      </c>
    </row>
    <row r="172" spans="1:8" x14ac:dyDescent="0.35">
      <c r="A172" t="s">
        <v>190</v>
      </c>
      <c r="B172" s="2">
        <v>45524</v>
      </c>
      <c r="C172" t="s">
        <v>15</v>
      </c>
      <c r="D172" t="s">
        <v>16</v>
      </c>
      <c r="E172" t="s">
        <v>21</v>
      </c>
      <c r="F172">
        <v>817.61</v>
      </c>
      <c r="G172">
        <v>3</v>
      </c>
      <c r="H172">
        <v>201.11</v>
      </c>
    </row>
    <row r="173" spans="1:8" x14ac:dyDescent="0.35">
      <c r="A173" t="s">
        <v>191</v>
      </c>
      <c r="B173" s="2">
        <v>45609</v>
      </c>
      <c r="C173" t="s">
        <v>18</v>
      </c>
      <c r="D173" t="s">
        <v>10</v>
      </c>
      <c r="E173" t="s">
        <v>26</v>
      </c>
      <c r="F173">
        <v>927.47</v>
      </c>
      <c r="G173">
        <v>1</v>
      </c>
      <c r="H173">
        <v>721.15</v>
      </c>
    </row>
    <row r="174" spans="1:8" x14ac:dyDescent="0.35">
      <c r="A174" t="s">
        <v>192</v>
      </c>
      <c r="B174" s="2">
        <v>45002</v>
      </c>
      <c r="C174" t="s">
        <v>23</v>
      </c>
      <c r="D174" t="s">
        <v>16</v>
      </c>
      <c r="E174" t="s">
        <v>19</v>
      </c>
      <c r="F174">
        <v>9057.44</v>
      </c>
      <c r="G174">
        <v>8</v>
      </c>
      <c r="H174">
        <v>757.28</v>
      </c>
    </row>
    <row r="175" spans="1:8" x14ac:dyDescent="0.35">
      <c r="A175" t="s">
        <v>193</v>
      </c>
      <c r="B175" s="2">
        <v>45633</v>
      </c>
      <c r="C175" t="s">
        <v>23</v>
      </c>
      <c r="D175" t="s">
        <v>16</v>
      </c>
      <c r="E175" t="s">
        <v>21</v>
      </c>
      <c r="F175">
        <v>2297.21</v>
      </c>
      <c r="G175">
        <v>5</v>
      </c>
      <c r="H175">
        <v>376.33</v>
      </c>
    </row>
    <row r="176" spans="1:8" x14ac:dyDescent="0.35">
      <c r="A176" t="s">
        <v>194</v>
      </c>
      <c r="B176" s="2">
        <v>45036</v>
      </c>
      <c r="C176" t="s">
        <v>18</v>
      </c>
      <c r="D176" t="s">
        <v>10</v>
      </c>
      <c r="E176" t="s">
        <v>21</v>
      </c>
      <c r="F176">
        <v>1579.15</v>
      </c>
      <c r="G176">
        <v>4</v>
      </c>
      <c r="H176">
        <v>317.45999999999998</v>
      </c>
    </row>
    <row r="177" spans="1:8" x14ac:dyDescent="0.35">
      <c r="A177" t="s">
        <v>195</v>
      </c>
      <c r="B177" s="2">
        <v>44949</v>
      </c>
      <c r="C177" t="s">
        <v>23</v>
      </c>
      <c r="D177" t="s">
        <v>16</v>
      </c>
      <c r="E177" t="s">
        <v>26</v>
      </c>
      <c r="F177">
        <v>2173.4299999999998</v>
      </c>
      <c r="G177">
        <v>7</v>
      </c>
      <c r="H177">
        <v>234.09</v>
      </c>
    </row>
    <row r="178" spans="1:8" x14ac:dyDescent="0.35">
      <c r="A178" t="s">
        <v>196</v>
      </c>
      <c r="B178" s="2">
        <v>45547</v>
      </c>
      <c r="C178" t="s">
        <v>9</v>
      </c>
      <c r="D178" t="s">
        <v>10</v>
      </c>
      <c r="E178" t="s">
        <v>11</v>
      </c>
      <c r="F178">
        <v>7827.33</v>
      </c>
      <c r="G178">
        <v>8</v>
      </c>
      <c r="H178">
        <v>669.61</v>
      </c>
    </row>
    <row r="179" spans="1:8" x14ac:dyDescent="0.35">
      <c r="A179" t="s">
        <v>197</v>
      </c>
      <c r="B179" s="2">
        <v>45151</v>
      </c>
      <c r="C179" t="s">
        <v>15</v>
      </c>
      <c r="D179" t="s">
        <v>16</v>
      </c>
      <c r="E179" t="s">
        <v>26</v>
      </c>
      <c r="F179">
        <v>2765.79</v>
      </c>
      <c r="G179">
        <v>4</v>
      </c>
      <c r="H179">
        <v>504.3</v>
      </c>
    </row>
    <row r="180" spans="1:8" x14ac:dyDescent="0.35">
      <c r="A180" t="s">
        <v>198</v>
      </c>
      <c r="B180" s="2">
        <v>45570</v>
      </c>
      <c r="C180" t="s">
        <v>9</v>
      </c>
      <c r="D180" t="s">
        <v>10</v>
      </c>
      <c r="E180" t="s">
        <v>19</v>
      </c>
      <c r="F180">
        <v>1968.93</v>
      </c>
      <c r="G180">
        <v>2</v>
      </c>
      <c r="H180">
        <v>724.65</v>
      </c>
    </row>
    <row r="181" spans="1:8" x14ac:dyDescent="0.35">
      <c r="A181" t="s">
        <v>199</v>
      </c>
      <c r="B181" s="2">
        <v>44961</v>
      </c>
      <c r="C181" t="s">
        <v>23</v>
      </c>
      <c r="D181" t="s">
        <v>16</v>
      </c>
      <c r="E181" t="s">
        <v>21</v>
      </c>
      <c r="F181">
        <v>3510.6</v>
      </c>
      <c r="G181">
        <v>10</v>
      </c>
      <c r="H181">
        <v>304.58999999999997</v>
      </c>
    </row>
    <row r="182" spans="1:8" x14ac:dyDescent="0.35">
      <c r="A182" t="s">
        <v>200</v>
      </c>
      <c r="B182" s="2">
        <v>45352</v>
      </c>
      <c r="C182" t="s">
        <v>23</v>
      </c>
      <c r="D182" t="s">
        <v>16</v>
      </c>
      <c r="E182" t="s">
        <v>26</v>
      </c>
      <c r="F182">
        <v>749.54</v>
      </c>
      <c r="G182">
        <v>3</v>
      </c>
      <c r="H182">
        <v>176.62</v>
      </c>
    </row>
    <row r="183" spans="1:8" x14ac:dyDescent="0.35">
      <c r="A183" t="s">
        <v>201</v>
      </c>
      <c r="B183" s="2">
        <v>45095</v>
      </c>
      <c r="C183" t="s">
        <v>23</v>
      </c>
      <c r="D183" t="s">
        <v>16</v>
      </c>
      <c r="E183" t="s">
        <v>26</v>
      </c>
      <c r="F183">
        <v>5415.38</v>
      </c>
      <c r="G183">
        <v>5</v>
      </c>
      <c r="H183">
        <v>732.96</v>
      </c>
    </row>
    <row r="184" spans="1:8" x14ac:dyDescent="0.35">
      <c r="A184" t="s">
        <v>202</v>
      </c>
      <c r="B184" s="2">
        <v>45044</v>
      </c>
      <c r="C184" t="s">
        <v>23</v>
      </c>
      <c r="D184" t="s">
        <v>16</v>
      </c>
      <c r="E184" t="s">
        <v>26</v>
      </c>
      <c r="F184">
        <v>7132.63</v>
      </c>
      <c r="G184">
        <v>8</v>
      </c>
      <c r="H184">
        <v>771.06</v>
      </c>
    </row>
    <row r="185" spans="1:8" x14ac:dyDescent="0.35">
      <c r="A185" t="s">
        <v>203</v>
      </c>
      <c r="B185" s="2">
        <v>45497</v>
      </c>
      <c r="C185" t="s">
        <v>15</v>
      </c>
      <c r="D185" t="s">
        <v>16</v>
      </c>
      <c r="E185" t="s">
        <v>21</v>
      </c>
      <c r="F185">
        <v>682.55</v>
      </c>
      <c r="G185">
        <v>6</v>
      </c>
      <c r="H185">
        <v>90.44</v>
      </c>
    </row>
    <row r="186" spans="1:8" x14ac:dyDescent="0.35">
      <c r="A186" t="s">
        <v>204</v>
      </c>
      <c r="B186" s="2">
        <v>45392</v>
      </c>
      <c r="C186" t="s">
        <v>23</v>
      </c>
      <c r="D186" t="s">
        <v>16</v>
      </c>
      <c r="E186" t="s">
        <v>11</v>
      </c>
      <c r="F186">
        <v>4474.8599999999997</v>
      </c>
      <c r="G186">
        <v>6</v>
      </c>
      <c r="H186">
        <v>544.80999999999995</v>
      </c>
    </row>
    <row r="187" spans="1:8" x14ac:dyDescent="0.35">
      <c r="A187" t="s">
        <v>205</v>
      </c>
      <c r="B187" s="2">
        <v>45580</v>
      </c>
      <c r="C187" t="s">
        <v>25</v>
      </c>
      <c r="D187" t="s">
        <v>16</v>
      </c>
      <c r="E187" t="s">
        <v>21</v>
      </c>
      <c r="F187">
        <v>748.41</v>
      </c>
      <c r="G187">
        <v>6</v>
      </c>
      <c r="H187">
        <v>104.51</v>
      </c>
    </row>
    <row r="188" spans="1:8" x14ac:dyDescent="0.35">
      <c r="A188" t="s">
        <v>206</v>
      </c>
      <c r="B188" s="2">
        <v>45551</v>
      </c>
      <c r="C188" t="s">
        <v>13</v>
      </c>
      <c r="D188" t="s">
        <v>10</v>
      </c>
      <c r="E188" t="s">
        <v>26</v>
      </c>
      <c r="F188">
        <v>2844.66</v>
      </c>
      <c r="G188">
        <v>4</v>
      </c>
      <c r="H188">
        <v>525.16999999999996</v>
      </c>
    </row>
    <row r="189" spans="1:8" x14ac:dyDescent="0.35">
      <c r="A189" t="s">
        <v>207</v>
      </c>
      <c r="B189" s="2">
        <v>45591</v>
      </c>
      <c r="C189" t="s">
        <v>18</v>
      </c>
      <c r="D189" t="s">
        <v>10</v>
      </c>
      <c r="E189" t="s">
        <v>26</v>
      </c>
      <c r="F189">
        <v>868.87</v>
      </c>
      <c r="G189">
        <v>7</v>
      </c>
      <c r="H189">
        <v>111.01</v>
      </c>
    </row>
    <row r="190" spans="1:8" x14ac:dyDescent="0.35">
      <c r="A190" t="s">
        <v>208</v>
      </c>
      <c r="B190" s="2">
        <v>45431</v>
      </c>
      <c r="C190" t="s">
        <v>13</v>
      </c>
      <c r="D190" t="s">
        <v>10</v>
      </c>
      <c r="E190" t="s">
        <v>26</v>
      </c>
      <c r="F190">
        <v>278.79000000000002</v>
      </c>
      <c r="G190">
        <v>2</v>
      </c>
      <c r="H190">
        <v>95.81</v>
      </c>
    </row>
    <row r="191" spans="1:8" x14ac:dyDescent="0.35">
      <c r="A191" t="s">
        <v>209</v>
      </c>
      <c r="B191" s="2">
        <v>45391</v>
      </c>
      <c r="C191" t="s">
        <v>15</v>
      </c>
      <c r="D191" t="s">
        <v>16</v>
      </c>
      <c r="E191" t="s">
        <v>21</v>
      </c>
      <c r="F191">
        <v>4552.09</v>
      </c>
      <c r="G191">
        <v>6</v>
      </c>
      <c r="H191">
        <v>542.98</v>
      </c>
    </row>
    <row r="192" spans="1:8" x14ac:dyDescent="0.35">
      <c r="A192" t="s">
        <v>210</v>
      </c>
      <c r="B192" s="2">
        <v>45528</v>
      </c>
      <c r="C192" t="s">
        <v>25</v>
      </c>
      <c r="D192" t="s">
        <v>16</v>
      </c>
      <c r="E192" t="s">
        <v>21</v>
      </c>
      <c r="F192">
        <v>2903.53</v>
      </c>
      <c r="G192">
        <v>3</v>
      </c>
      <c r="H192">
        <v>710.62</v>
      </c>
    </row>
    <row r="193" spans="1:8" x14ac:dyDescent="0.35">
      <c r="A193" t="s">
        <v>211</v>
      </c>
      <c r="B193" s="2">
        <v>45213</v>
      </c>
      <c r="C193" t="s">
        <v>18</v>
      </c>
      <c r="D193" t="s">
        <v>10</v>
      </c>
      <c r="E193" t="s">
        <v>21</v>
      </c>
      <c r="F193">
        <v>662.79</v>
      </c>
      <c r="G193">
        <v>1</v>
      </c>
      <c r="H193">
        <v>558.41999999999996</v>
      </c>
    </row>
    <row r="194" spans="1:8" x14ac:dyDescent="0.35">
      <c r="A194" t="s">
        <v>212</v>
      </c>
      <c r="B194" s="2">
        <v>45298</v>
      </c>
      <c r="C194" t="s">
        <v>18</v>
      </c>
      <c r="D194" t="s">
        <v>10</v>
      </c>
      <c r="E194" t="s">
        <v>19</v>
      </c>
      <c r="F194">
        <v>1957.99</v>
      </c>
      <c r="G194">
        <v>2</v>
      </c>
      <c r="H194">
        <v>785.12</v>
      </c>
    </row>
    <row r="195" spans="1:8" x14ac:dyDescent="0.35">
      <c r="A195" t="s">
        <v>213</v>
      </c>
      <c r="B195" s="2">
        <v>44989</v>
      </c>
      <c r="C195" t="s">
        <v>9</v>
      </c>
      <c r="D195" t="s">
        <v>10</v>
      </c>
      <c r="E195" t="s">
        <v>26</v>
      </c>
      <c r="F195">
        <v>2448.56</v>
      </c>
      <c r="G195">
        <v>7</v>
      </c>
      <c r="H195">
        <v>235.19</v>
      </c>
    </row>
    <row r="196" spans="1:8" x14ac:dyDescent="0.35">
      <c r="A196" t="s">
        <v>214</v>
      </c>
      <c r="B196" s="2">
        <v>45605</v>
      </c>
      <c r="C196" t="s">
        <v>18</v>
      </c>
      <c r="D196" t="s">
        <v>10</v>
      </c>
      <c r="E196" t="s">
        <v>11</v>
      </c>
      <c r="F196">
        <v>2787.66</v>
      </c>
      <c r="G196">
        <v>4</v>
      </c>
      <c r="H196">
        <v>520.53</v>
      </c>
    </row>
    <row r="197" spans="1:8" x14ac:dyDescent="0.35">
      <c r="A197" t="s">
        <v>215</v>
      </c>
      <c r="B197" s="2">
        <v>45268</v>
      </c>
      <c r="C197" t="s">
        <v>13</v>
      </c>
      <c r="D197" t="s">
        <v>10</v>
      </c>
      <c r="E197" t="s">
        <v>11</v>
      </c>
      <c r="F197">
        <v>4477.9799999999996</v>
      </c>
      <c r="G197">
        <v>4</v>
      </c>
      <c r="H197">
        <v>791.28</v>
      </c>
    </row>
    <row r="198" spans="1:8" x14ac:dyDescent="0.35">
      <c r="A198" t="s">
        <v>216</v>
      </c>
      <c r="B198" s="2">
        <v>45494</v>
      </c>
      <c r="C198" t="s">
        <v>15</v>
      </c>
      <c r="D198" t="s">
        <v>16</v>
      </c>
      <c r="E198" t="s">
        <v>11</v>
      </c>
      <c r="F198">
        <v>2721.49</v>
      </c>
      <c r="G198">
        <v>4</v>
      </c>
      <c r="H198">
        <v>477.38</v>
      </c>
    </row>
    <row r="199" spans="1:8" x14ac:dyDescent="0.35">
      <c r="A199" t="s">
        <v>217</v>
      </c>
      <c r="B199" s="2">
        <v>45078</v>
      </c>
      <c r="C199" t="s">
        <v>15</v>
      </c>
      <c r="D199" t="s">
        <v>16</v>
      </c>
      <c r="E199" t="s">
        <v>26</v>
      </c>
      <c r="F199">
        <v>320.57</v>
      </c>
      <c r="G199">
        <v>10</v>
      </c>
      <c r="H199">
        <v>22.21</v>
      </c>
    </row>
    <row r="200" spans="1:8" x14ac:dyDescent="0.35">
      <c r="A200" t="s">
        <v>218</v>
      </c>
      <c r="B200" s="2">
        <v>45480</v>
      </c>
      <c r="C200" t="s">
        <v>15</v>
      </c>
      <c r="D200" t="s">
        <v>16</v>
      </c>
      <c r="E200" t="s">
        <v>19</v>
      </c>
      <c r="F200">
        <v>3676.95</v>
      </c>
      <c r="G200">
        <v>5</v>
      </c>
      <c r="H200">
        <v>642.84</v>
      </c>
    </row>
    <row r="201" spans="1:8" x14ac:dyDescent="0.35">
      <c r="A201" t="s">
        <v>219</v>
      </c>
      <c r="B201" s="2">
        <v>44942</v>
      </c>
      <c r="C201" t="s">
        <v>13</v>
      </c>
      <c r="D201" t="s">
        <v>10</v>
      </c>
      <c r="E201" t="s">
        <v>19</v>
      </c>
      <c r="F201">
        <v>4562.1400000000003</v>
      </c>
      <c r="G201">
        <v>6</v>
      </c>
      <c r="H201">
        <v>636.19000000000005</v>
      </c>
    </row>
    <row r="202" spans="1:8" x14ac:dyDescent="0.35">
      <c r="A202" t="s">
        <v>220</v>
      </c>
      <c r="B202" s="2">
        <v>45105</v>
      </c>
      <c r="C202" t="s">
        <v>23</v>
      </c>
      <c r="D202" t="s">
        <v>16</v>
      </c>
      <c r="E202" t="s">
        <v>11</v>
      </c>
      <c r="F202">
        <v>425.08</v>
      </c>
      <c r="G202">
        <v>5</v>
      </c>
      <c r="H202">
        <v>60.87</v>
      </c>
    </row>
    <row r="203" spans="1:8" x14ac:dyDescent="0.35">
      <c r="A203" t="s">
        <v>221</v>
      </c>
      <c r="B203" s="2">
        <v>44992</v>
      </c>
      <c r="C203" t="s">
        <v>25</v>
      </c>
      <c r="D203" t="s">
        <v>16</v>
      </c>
      <c r="E203" t="s">
        <v>11</v>
      </c>
      <c r="F203">
        <v>3681.17</v>
      </c>
      <c r="G203">
        <v>8</v>
      </c>
      <c r="H203">
        <v>369.65</v>
      </c>
    </row>
    <row r="204" spans="1:8" x14ac:dyDescent="0.35">
      <c r="A204" t="s">
        <v>222</v>
      </c>
      <c r="B204" s="2">
        <v>45389</v>
      </c>
      <c r="C204" t="s">
        <v>25</v>
      </c>
      <c r="D204" t="s">
        <v>16</v>
      </c>
      <c r="E204" t="s">
        <v>11</v>
      </c>
      <c r="F204">
        <v>2335.77</v>
      </c>
      <c r="G204">
        <v>9</v>
      </c>
      <c r="H204">
        <v>192.81</v>
      </c>
    </row>
    <row r="205" spans="1:8" x14ac:dyDescent="0.35">
      <c r="A205" t="s">
        <v>223</v>
      </c>
      <c r="B205" s="2">
        <v>45396</v>
      </c>
      <c r="C205" t="s">
        <v>9</v>
      </c>
      <c r="D205" t="s">
        <v>10</v>
      </c>
      <c r="E205" t="s">
        <v>26</v>
      </c>
      <c r="F205">
        <v>87.11</v>
      </c>
      <c r="G205">
        <v>1</v>
      </c>
      <c r="H205">
        <v>67.44</v>
      </c>
    </row>
    <row r="206" spans="1:8" x14ac:dyDescent="0.35">
      <c r="A206" t="s">
        <v>224</v>
      </c>
      <c r="B206" s="2">
        <v>45629</v>
      </c>
      <c r="C206" t="s">
        <v>18</v>
      </c>
      <c r="D206" t="s">
        <v>10</v>
      </c>
      <c r="E206" t="s">
        <v>21</v>
      </c>
      <c r="F206">
        <v>1178.1600000000001</v>
      </c>
      <c r="G206">
        <v>2</v>
      </c>
      <c r="H206">
        <v>402.41</v>
      </c>
    </row>
    <row r="207" spans="1:8" x14ac:dyDescent="0.35">
      <c r="A207" t="s">
        <v>225</v>
      </c>
      <c r="B207" s="2">
        <v>45256</v>
      </c>
      <c r="C207" t="s">
        <v>13</v>
      </c>
      <c r="D207" t="s">
        <v>10</v>
      </c>
      <c r="E207" t="s">
        <v>11</v>
      </c>
      <c r="F207">
        <v>1561.2</v>
      </c>
      <c r="G207">
        <v>10</v>
      </c>
      <c r="H207">
        <v>135.69999999999999</v>
      </c>
    </row>
    <row r="208" spans="1:8" x14ac:dyDescent="0.35">
      <c r="A208" t="s">
        <v>226</v>
      </c>
      <c r="B208" s="2">
        <v>45317</v>
      </c>
      <c r="C208" t="s">
        <v>25</v>
      </c>
      <c r="D208" t="s">
        <v>16</v>
      </c>
      <c r="E208" t="s">
        <v>26</v>
      </c>
      <c r="F208">
        <v>5559.47</v>
      </c>
      <c r="G208">
        <v>10</v>
      </c>
      <c r="H208">
        <v>433.83</v>
      </c>
    </row>
    <row r="209" spans="1:8" x14ac:dyDescent="0.35">
      <c r="A209" t="s">
        <v>227</v>
      </c>
      <c r="B209" s="2">
        <v>45028</v>
      </c>
      <c r="C209" t="s">
        <v>25</v>
      </c>
      <c r="D209" t="s">
        <v>16</v>
      </c>
      <c r="E209" t="s">
        <v>21</v>
      </c>
      <c r="F209">
        <v>1864.19</v>
      </c>
      <c r="G209">
        <v>2</v>
      </c>
      <c r="H209">
        <v>685.18</v>
      </c>
    </row>
    <row r="210" spans="1:8" x14ac:dyDescent="0.35">
      <c r="A210" t="s">
        <v>228</v>
      </c>
      <c r="B210" s="2">
        <v>45367</v>
      </c>
      <c r="C210" t="s">
        <v>25</v>
      </c>
      <c r="D210" t="s">
        <v>16</v>
      </c>
      <c r="E210" t="s">
        <v>19</v>
      </c>
      <c r="F210">
        <v>7215.62</v>
      </c>
      <c r="G210">
        <v>8</v>
      </c>
      <c r="H210">
        <v>712.71</v>
      </c>
    </row>
    <row r="211" spans="1:8" x14ac:dyDescent="0.35">
      <c r="A211" t="s">
        <v>229</v>
      </c>
      <c r="B211" s="2">
        <v>45352</v>
      </c>
      <c r="C211" t="s">
        <v>18</v>
      </c>
      <c r="D211" t="s">
        <v>10</v>
      </c>
      <c r="E211" t="s">
        <v>21</v>
      </c>
      <c r="F211">
        <v>646.29</v>
      </c>
      <c r="G211">
        <v>2</v>
      </c>
      <c r="H211">
        <v>263.79000000000002</v>
      </c>
    </row>
    <row r="212" spans="1:8" x14ac:dyDescent="0.35">
      <c r="A212" t="s">
        <v>230</v>
      </c>
      <c r="B212" s="2">
        <v>45083</v>
      </c>
      <c r="C212" t="s">
        <v>23</v>
      </c>
      <c r="D212" t="s">
        <v>16</v>
      </c>
      <c r="E212" t="s">
        <v>26</v>
      </c>
      <c r="F212">
        <v>829.37</v>
      </c>
      <c r="G212">
        <v>8</v>
      </c>
      <c r="H212">
        <v>72.36</v>
      </c>
    </row>
    <row r="213" spans="1:8" x14ac:dyDescent="0.35">
      <c r="A213" t="s">
        <v>231</v>
      </c>
      <c r="B213" s="2">
        <v>45025</v>
      </c>
      <c r="C213" t="s">
        <v>13</v>
      </c>
      <c r="D213" t="s">
        <v>10</v>
      </c>
      <c r="E213" t="s">
        <v>21</v>
      </c>
      <c r="F213">
        <v>5183.17</v>
      </c>
      <c r="G213">
        <v>6</v>
      </c>
      <c r="H213">
        <v>653.17999999999995</v>
      </c>
    </row>
    <row r="214" spans="1:8" x14ac:dyDescent="0.35">
      <c r="A214" t="s">
        <v>232</v>
      </c>
      <c r="B214" s="2">
        <v>45613</v>
      </c>
      <c r="C214" t="s">
        <v>25</v>
      </c>
      <c r="D214" t="s">
        <v>16</v>
      </c>
      <c r="E214" t="s">
        <v>26</v>
      </c>
      <c r="F214">
        <v>986.87</v>
      </c>
      <c r="G214">
        <v>2</v>
      </c>
      <c r="H214">
        <v>340.43</v>
      </c>
    </row>
    <row r="215" spans="1:8" x14ac:dyDescent="0.35">
      <c r="A215" t="s">
        <v>233</v>
      </c>
      <c r="B215" s="2">
        <v>45221</v>
      </c>
      <c r="C215" t="s">
        <v>18</v>
      </c>
      <c r="D215" t="s">
        <v>10</v>
      </c>
      <c r="E215" t="s">
        <v>11</v>
      </c>
      <c r="F215">
        <v>3010.09</v>
      </c>
      <c r="G215">
        <v>10</v>
      </c>
      <c r="H215">
        <v>263.70999999999998</v>
      </c>
    </row>
    <row r="216" spans="1:8" x14ac:dyDescent="0.35">
      <c r="A216" t="s">
        <v>234</v>
      </c>
      <c r="B216" s="2">
        <v>45085</v>
      </c>
      <c r="C216" t="s">
        <v>25</v>
      </c>
      <c r="D216" t="s">
        <v>16</v>
      </c>
      <c r="E216" t="s">
        <v>19</v>
      </c>
      <c r="F216">
        <v>1782.71</v>
      </c>
      <c r="G216">
        <v>8</v>
      </c>
      <c r="H216">
        <v>194.91</v>
      </c>
    </row>
    <row r="217" spans="1:8" x14ac:dyDescent="0.35">
      <c r="A217" t="s">
        <v>235</v>
      </c>
      <c r="B217" s="2">
        <v>45044</v>
      </c>
      <c r="C217" t="s">
        <v>25</v>
      </c>
      <c r="D217" t="s">
        <v>16</v>
      </c>
      <c r="E217" t="s">
        <v>26</v>
      </c>
      <c r="F217">
        <v>3328.14</v>
      </c>
      <c r="G217">
        <v>5</v>
      </c>
      <c r="H217">
        <v>467.8</v>
      </c>
    </row>
    <row r="218" spans="1:8" x14ac:dyDescent="0.35">
      <c r="A218" t="s">
        <v>236</v>
      </c>
      <c r="B218" s="2">
        <v>45550</v>
      </c>
      <c r="C218" t="s">
        <v>25</v>
      </c>
      <c r="D218" t="s">
        <v>16</v>
      </c>
      <c r="E218" t="s">
        <v>11</v>
      </c>
      <c r="F218">
        <v>257.45999999999998</v>
      </c>
      <c r="G218">
        <v>5</v>
      </c>
      <c r="H218">
        <v>42.58</v>
      </c>
    </row>
    <row r="219" spans="1:8" x14ac:dyDescent="0.35">
      <c r="A219" t="s">
        <v>237</v>
      </c>
      <c r="B219" s="2">
        <v>45286</v>
      </c>
      <c r="C219" t="s">
        <v>23</v>
      </c>
      <c r="D219" t="s">
        <v>16</v>
      </c>
      <c r="E219" t="s">
        <v>26</v>
      </c>
      <c r="F219">
        <v>186.9</v>
      </c>
      <c r="G219">
        <v>1</v>
      </c>
      <c r="H219">
        <v>161.5</v>
      </c>
    </row>
    <row r="220" spans="1:8" x14ac:dyDescent="0.35">
      <c r="A220" t="s">
        <v>238</v>
      </c>
      <c r="B220" s="2">
        <v>44998</v>
      </c>
      <c r="C220" t="s">
        <v>9</v>
      </c>
      <c r="D220" t="s">
        <v>10</v>
      </c>
      <c r="E220" t="s">
        <v>21</v>
      </c>
      <c r="F220">
        <v>2670.59</v>
      </c>
      <c r="G220">
        <v>3</v>
      </c>
      <c r="H220">
        <v>597.96</v>
      </c>
    </row>
    <row r="221" spans="1:8" x14ac:dyDescent="0.35">
      <c r="A221" t="s">
        <v>239</v>
      </c>
      <c r="B221" s="2">
        <v>45312</v>
      </c>
      <c r="C221" t="s">
        <v>13</v>
      </c>
      <c r="D221" t="s">
        <v>10</v>
      </c>
      <c r="E221" t="s">
        <v>19</v>
      </c>
      <c r="F221">
        <v>3043.34</v>
      </c>
      <c r="G221">
        <v>7</v>
      </c>
      <c r="H221">
        <v>373.84</v>
      </c>
    </row>
    <row r="222" spans="1:8" x14ac:dyDescent="0.35">
      <c r="A222" t="s">
        <v>240</v>
      </c>
      <c r="B222" s="2">
        <v>45508</v>
      </c>
      <c r="C222" t="s">
        <v>23</v>
      </c>
      <c r="D222" t="s">
        <v>16</v>
      </c>
      <c r="E222" t="s">
        <v>26</v>
      </c>
      <c r="F222">
        <v>967.12</v>
      </c>
      <c r="G222">
        <v>10</v>
      </c>
      <c r="H222">
        <v>86.27</v>
      </c>
    </row>
    <row r="223" spans="1:8" x14ac:dyDescent="0.35">
      <c r="A223" t="s">
        <v>241</v>
      </c>
      <c r="B223" s="2">
        <v>45617</v>
      </c>
      <c r="C223" t="s">
        <v>15</v>
      </c>
      <c r="D223" t="s">
        <v>16</v>
      </c>
      <c r="E223" t="s">
        <v>11</v>
      </c>
      <c r="F223">
        <v>633.91</v>
      </c>
      <c r="G223">
        <v>2</v>
      </c>
      <c r="H223">
        <v>232.24</v>
      </c>
    </row>
    <row r="224" spans="1:8" x14ac:dyDescent="0.35">
      <c r="A224" t="s">
        <v>242</v>
      </c>
      <c r="B224" s="2">
        <v>45351</v>
      </c>
      <c r="C224" t="s">
        <v>18</v>
      </c>
      <c r="D224" t="s">
        <v>10</v>
      </c>
      <c r="E224" t="s">
        <v>21</v>
      </c>
      <c r="F224">
        <v>1227.56</v>
      </c>
      <c r="G224">
        <v>5</v>
      </c>
      <c r="H224">
        <v>188.14</v>
      </c>
    </row>
    <row r="225" spans="1:8" x14ac:dyDescent="0.35">
      <c r="A225" t="s">
        <v>243</v>
      </c>
      <c r="B225" s="2">
        <v>45040</v>
      </c>
      <c r="C225" t="s">
        <v>23</v>
      </c>
      <c r="D225" t="s">
        <v>16</v>
      </c>
      <c r="E225" t="s">
        <v>21</v>
      </c>
      <c r="F225">
        <v>3670.83</v>
      </c>
      <c r="G225">
        <v>5</v>
      </c>
      <c r="H225">
        <v>549.01</v>
      </c>
    </row>
    <row r="226" spans="1:8" x14ac:dyDescent="0.35">
      <c r="A226" t="s">
        <v>244</v>
      </c>
      <c r="B226" s="2">
        <v>44973</v>
      </c>
      <c r="C226" t="s">
        <v>25</v>
      </c>
      <c r="D226" t="s">
        <v>16</v>
      </c>
      <c r="E226" t="s">
        <v>26</v>
      </c>
      <c r="F226">
        <v>1759.39</v>
      </c>
      <c r="G226">
        <v>4</v>
      </c>
      <c r="H226">
        <v>328.31</v>
      </c>
    </row>
    <row r="227" spans="1:8" x14ac:dyDescent="0.35">
      <c r="A227" t="s">
        <v>245</v>
      </c>
      <c r="B227" s="2">
        <v>45235</v>
      </c>
      <c r="C227" t="s">
        <v>13</v>
      </c>
      <c r="D227" t="s">
        <v>10</v>
      </c>
      <c r="E227" t="s">
        <v>19</v>
      </c>
      <c r="F227">
        <v>3477.78</v>
      </c>
      <c r="G227">
        <v>4</v>
      </c>
      <c r="H227">
        <v>618.53</v>
      </c>
    </row>
    <row r="228" spans="1:8" x14ac:dyDescent="0.35">
      <c r="A228" t="s">
        <v>246</v>
      </c>
      <c r="B228" s="2">
        <v>45049</v>
      </c>
      <c r="C228" t="s">
        <v>23</v>
      </c>
      <c r="D228" t="s">
        <v>16</v>
      </c>
      <c r="E228" t="s">
        <v>26</v>
      </c>
      <c r="F228">
        <v>519.03</v>
      </c>
      <c r="G228">
        <v>1</v>
      </c>
      <c r="H228">
        <v>407.96</v>
      </c>
    </row>
    <row r="229" spans="1:8" x14ac:dyDescent="0.35">
      <c r="A229" t="s">
        <v>247</v>
      </c>
      <c r="B229" s="2">
        <v>45472</v>
      </c>
      <c r="C229" t="s">
        <v>15</v>
      </c>
      <c r="D229" t="s">
        <v>16</v>
      </c>
      <c r="E229" t="s">
        <v>21</v>
      </c>
      <c r="F229">
        <v>2351.83</v>
      </c>
      <c r="G229">
        <v>4</v>
      </c>
      <c r="H229">
        <v>410.2</v>
      </c>
    </row>
    <row r="230" spans="1:8" x14ac:dyDescent="0.35">
      <c r="A230" t="s">
        <v>248</v>
      </c>
      <c r="B230" s="2">
        <v>45333</v>
      </c>
      <c r="C230" t="s">
        <v>23</v>
      </c>
      <c r="D230" t="s">
        <v>16</v>
      </c>
      <c r="E230" t="s">
        <v>11</v>
      </c>
      <c r="F230">
        <v>462.53</v>
      </c>
      <c r="G230">
        <v>1</v>
      </c>
      <c r="H230">
        <v>360.25</v>
      </c>
    </row>
    <row r="231" spans="1:8" x14ac:dyDescent="0.35">
      <c r="A231" t="s">
        <v>249</v>
      </c>
      <c r="B231" s="2">
        <v>45516</v>
      </c>
      <c r="C231" t="s">
        <v>13</v>
      </c>
      <c r="D231" t="s">
        <v>10</v>
      </c>
      <c r="E231" t="s">
        <v>26</v>
      </c>
      <c r="F231">
        <v>4526.0600000000004</v>
      </c>
      <c r="G231">
        <v>7</v>
      </c>
      <c r="H231">
        <v>467.25</v>
      </c>
    </row>
    <row r="232" spans="1:8" x14ac:dyDescent="0.35">
      <c r="A232" t="s">
        <v>250</v>
      </c>
      <c r="B232" s="2">
        <v>45044</v>
      </c>
      <c r="C232" t="s">
        <v>18</v>
      </c>
      <c r="D232" t="s">
        <v>10</v>
      </c>
      <c r="E232" t="s">
        <v>26</v>
      </c>
      <c r="F232">
        <v>312.26</v>
      </c>
      <c r="G232">
        <v>7</v>
      </c>
      <c r="H232">
        <v>36.270000000000003</v>
      </c>
    </row>
    <row r="233" spans="1:8" x14ac:dyDescent="0.35">
      <c r="A233" t="s">
        <v>251</v>
      </c>
      <c r="B233" s="2">
        <v>45633</v>
      </c>
      <c r="C233" t="s">
        <v>25</v>
      </c>
      <c r="D233" t="s">
        <v>16</v>
      </c>
      <c r="E233" t="s">
        <v>21</v>
      </c>
      <c r="F233">
        <v>765.54</v>
      </c>
      <c r="G233">
        <v>6</v>
      </c>
      <c r="H233">
        <v>88.74</v>
      </c>
    </row>
    <row r="234" spans="1:8" x14ac:dyDescent="0.35">
      <c r="A234" t="s">
        <v>252</v>
      </c>
      <c r="B234" s="2">
        <v>45530</v>
      </c>
      <c r="C234" t="s">
        <v>15</v>
      </c>
      <c r="D234" t="s">
        <v>16</v>
      </c>
      <c r="E234" t="s">
        <v>21</v>
      </c>
      <c r="F234">
        <v>3775.96</v>
      </c>
      <c r="G234">
        <v>7</v>
      </c>
      <c r="H234">
        <v>428.69</v>
      </c>
    </row>
    <row r="235" spans="1:8" x14ac:dyDescent="0.35">
      <c r="A235" t="s">
        <v>253</v>
      </c>
      <c r="B235" s="2">
        <v>45153</v>
      </c>
      <c r="C235" t="s">
        <v>23</v>
      </c>
      <c r="D235" t="s">
        <v>16</v>
      </c>
      <c r="E235" t="s">
        <v>26</v>
      </c>
      <c r="F235">
        <v>4257.95</v>
      </c>
      <c r="G235">
        <v>6</v>
      </c>
      <c r="H235">
        <v>627.71</v>
      </c>
    </row>
    <row r="236" spans="1:8" x14ac:dyDescent="0.35">
      <c r="A236" t="s">
        <v>254</v>
      </c>
      <c r="B236" s="2">
        <v>45470</v>
      </c>
      <c r="C236" t="s">
        <v>9</v>
      </c>
      <c r="D236" t="s">
        <v>10</v>
      </c>
      <c r="E236" t="s">
        <v>11</v>
      </c>
      <c r="F236">
        <v>2173.79</v>
      </c>
      <c r="G236">
        <v>9</v>
      </c>
      <c r="H236">
        <v>171.24</v>
      </c>
    </row>
    <row r="237" spans="1:8" x14ac:dyDescent="0.35">
      <c r="A237" t="s">
        <v>255</v>
      </c>
      <c r="B237" s="2">
        <v>45168</v>
      </c>
      <c r="C237" t="s">
        <v>23</v>
      </c>
      <c r="D237" t="s">
        <v>16</v>
      </c>
      <c r="E237" t="s">
        <v>19</v>
      </c>
      <c r="F237">
        <v>316.49</v>
      </c>
      <c r="G237">
        <v>2</v>
      </c>
      <c r="H237">
        <v>134.22999999999999</v>
      </c>
    </row>
    <row r="238" spans="1:8" x14ac:dyDescent="0.35">
      <c r="A238" t="s">
        <v>256</v>
      </c>
      <c r="B238" s="2">
        <v>45598</v>
      </c>
      <c r="C238" t="s">
        <v>25</v>
      </c>
      <c r="D238" t="s">
        <v>16</v>
      </c>
      <c r="E238" t="s">
        <v>19</v>
      </c>
      <c r="F238">
        <v>445.77</v>
      </c>
      <c r="G238">
        <v>2</v>
      </c>
      <c r="H238">
        <v>158.16999999999999</v>
      </c>
    </row>
    <row r="239" spans="1:8" x14ac:dyDescent="0.35">
      <c r="A239" t="s">
        <v>257</v>
      </c>
      <c r="B239" s="2">
        <v>45504</v>
      </c>
      <c r="C239" t="s">
        <v>18</v>
      </c>
      <c r="D239" t="s">
        <v>10</v>
      </c>
      <c r="E239" t="s">
        <v>21</v>
      </c>
      <c r="F239">
        <v>5439.95</v>
      </c>
      <c r="G239">
        <v>10</v>
      </c>
      <c r="H239">
        <v>370.15</v>
      </c>
    </row>
    <row r="240" spans="1:8" x14ac:dyDescent="0.35">
      <c r="A240" t="s">
        <v>258</v>
      </c>
      <c r="B240" s="2">
        <v>45569</v>
      </c>
      <c r="C240" t="s">
        <v>25</v>
      </c>
      <c r="D240" t="s">
        <v>16</v>
      </c>
      <c r="E240" t="s">
        <v>26</v>
      </c>
      <c r="F240">
        <v>931.73</v>
      </c>
      <c r="G240">
        <v>6</v>
      </c>
      <c r="H240">
        <v>137.75</v>
      </c>
    </row>
    <row r="241" spans="1:8" x14ac:dyDescent="0.35">
      <c r="A241" t="s">
        <v>259</v>
      </c>
      <c r="B241" s="2">
        <v>45208</v>
      </c>
      <c r="C241" t="s">
        <v>18</v>
      </c>
      <c r="D241" t="s">
        <v>10</v>
      </c>
      <c r="E241" t="s">
        <v>26</v>
      </c>
      <c r="F241">
        <v>831.4</v>
      </c>
      <c r="G241">
        <v>10</v>
      </c>
      <c r="H241">
        <v>63.81</v>
      </c>
    </row>
    <row r="242" spans="1:8" x14ac:dyDescent="0.35">
      <c r="A242" t="s">
        <v>260</v>
      </c>
      <c r="B242" s="2">
        <v>45389</v>
      </c>
      <c r="C242" t="s">
        <v>23</v>
      </c>
      <c r="D242" t="s">
        <v>16</v>
      </c>
      <c r="E242" t="s">
        <v>21</v>
      </c>
      <c r="F242">
        <v>92.22</v>
      </c>
      <c r="G242">
        <v>1</v>
      </c>
      <c r="H242">
        <v>64.37</v>
      </c>
    </row>
    <row r="243" spans="1:8" x14ac:dyDescent="0.35">
      <c r="A243" t="s">
        <v>261</v>
      </c>
      <c r="B243" s="2">
        <v>45556</v>
      </c>
      <c r="C243" t="s">
        <v>13</v>
      </c>
      <c r="D243" t="s">
        <v>10</v>
      </c>
      <c r="E243" t="s">
        <v>11</v>
      </c>
      <c r="F243">
        <v>5339.66</v>
      </c>
      <c r="G243">
        <v>10</v>
      </c>
      <c r="H243">
        <v>415.51</v>
      </c>
    </row>
    <row r="244" spans="1:8" x14ac:dyDescent="0.35">
      <c r="A244" t="s">
        <v>262</v>
      </c>
      <c r="B244" s="2">
        <v>45387</v>
      </c>
      <c r="C244" t="s">
        <v>25</v>
      </c>
      <c r="D244" t="s">
        <v>16</v>
      </c>
      <c r="E244" t="s">
        <v>11</v>
      </c>
      <c r="F244">
        <v>6492.35</v>
      </c>
      <c r="G244">
        <v>10</v>
      </c>
      <c r="H244">
        <v>528.42999999999995</v>
      </c>
    </row>
    <row r="245" spans="1:8" x14ac:dyDescent="0.35">
      <c r="A245" t="s">
        <v>263</v>
      </c>
      <c r="B245" s="2">
        <v>44990</v>
      </c>
      <c r="C245" t="s">
        <v>18</v>
      </c>
      <c r="D245" t="s">
        <v>10</v>
      </c>
      <c r="E245" t="s">
        <v>19</v>
      </c>
      <c r="F245">
        <v>1176.24</v>
      </c>
      <c r="G245">
        <v>8</v>
      </c>
      <c r="H245">
        <v>100.73</v>
      </c>
    </row>
    <row r="246" spans="1:8" x14ac:dyDescent="0.35">
      <c r="A246" t="s">
        <v>264</v>
      </c>
      <c r="B246" s="2">
        <v>45443</v>
      </c>
      <c r="C246" t="s">
        <v>23</v>
      </c>
      <c r="D246" t="s">
        <v>16</v>
      </c>
      <c r="E246" t="s">
        <v>11</v>
      </c>
      <c r="F246">
        <v>209.66</v>
      </c>
      <c r="G246">
        <v>3</v>
      </c>
      <c r="H246">
        <v>50.53</v>
      </c>
    </row>
    <row r="247" spans="1:8" x14ac:dyDescent="0.35">
      <c r="A247" t="s">
        <v>265</v>
      </c>
      <c r="B247" s="2">
        <v>45299</v>
      </c>
      <c r="C247" t="s">
        <v>18</v>
      </c>
      <c r="D247" t="s">
        <v>10</v>
      </c>
      <c r="E247" t="s">
        <v>19</v>
      </c>
      <c r="F247">
        <v>5541.86</v>
      </c>
      <c r="G247">
        <v>6</v>
      </c>
      <c r="H247">
        <v>735.99</v>
      </c>
    </row>
    <row r="248" spans="1:8" x14ac:dyDescent="0.35">
      <c r="A248" t="s">
        <v>266</v>
      </c>
      <c r="B248" s="2">
        <v>45573</v>
      </c>
      <c r="C248" t="s">
        <v>23</v>
      </c>
      <c r="D248" t="s">
        <v>16</v>
      </c>
      <c r="E248" t="s">
        <v>11</v>
      </c>
      <c r="F248">
        <v>487.5</v>
      </c>
      <c r="G248">
        <v>6</v>
      </c>
      <c r="H248">
        <v>71.41</v>
      </c>
    </row>
    <row r="249" spans="1:8" x14ac:dyDescent="0.35">
      <c r="A249" t="s">
        <v>267</v>
      </c>
      <c r="B249" s="2">
        <v>45217</v>
      </c>
      <c r="C249" t="s">
        <v>9</v>
      </c>
      <c r="D249" t="s">
        <v>10</v>
      </c>
      <c r="E249" t="s">
        <v>21</v>
      </c>
      <c r="F249">
        <v>3982.34</v>
      </c>
      <c r="G249">
        <v>5</v>
      </c>
      <c r="H249">
        <v>584.51</v>
      </c>
    </row>
    <row r="250" spans="1:8" x14ac:dyDescent="0.35">
      <c r="A250" t="s">
        <v>268</v>
      </c>
      <c r="B250" s="2">
        <v>45268</v>
      </c>
      <c r="C250" t="s">
        <v>25</v>
      </c>
      <c r="D250" t="s">
        <v>16</v>
      </c>
      <c r="E250" t="s">
        <v>19</v>
      </c>
      <c r="F250">
        <v>1097.68</v>
      </c>
      <c r="G250">
        <v>2</v>
      </c>
      <c r="H250">
        <v>474.54</v>
      </c>
    </row>
    <row r="251" spans="1:8" x14ac:dyDescent="0.35">
      <c r="A251" t="s">
        <v>269</v>
      </c>
      <c r="B251" s="2">
        <v>45598</v>
      </c>
      <c r="C251" t="s">
        <v>23</v>
      </c>
      <c r="D251" t="s">
        <v>16</v>
      </c>
      <c r="E251" t="s">
        <v>26</v>
      </c>
      <c r="F251">
        <v>1167.79</v>
      </c>
      <c r="G251">
        <v>7</v>
      </c>
      <c r="H251">
        <v>120.58</v>
      </c>
    </row>
    <row r="252" spans="1:8" x14ac:dyDescent="0.35">
      <c r="A252" t="s">
        <v>270</v>
      </c>
      <c r="B252" s="2">
        <v>45499</v>
      </c>
      <c r="C252" t="s">
        <v>13</v>
      </c>
      <c r="D252" t="s">
        <v>10</v>
      </c>
      <c r="E252" t="s">
        <v>26</v>
      </c>
      <c r="F252">
        <v>4498.8100000000004</v>
      </c>
      <c r="G252">
        <v>7</v>
      </c>
      <c r="H252">
        <v>521.91999999999996</v>
      </c>
    </row>
    <row r="253" spans="1:8" x14ac:dyDescent="0.35">
      <c r="A253" t="s">
        <v>271</v>
      </c>
      <c r="B253" s="2">
        <v>45588</v>
      </c>
      <c r="C253" t="s">
        <v>15</v>
      </c>
      <c r="D253" t="s">
        <v>16</v>
      </c>
      <c r="E253" t="s">
        <v>11</v>
      </c>
      <c r="F253">
        <v>3229.24</v>
      </c>
      <c r="G253">
        <v>7</v>
      </c>
      <c r="H253">
        <v>416.62</v>
      </c>
    </row>
    <row r="254" spans="1:8" x14ac:dyDescent="0.35">
      <c r="A254" t="s">
        <v>272</v>
      </c>
      <c r="B254" s="2">
        <v>45146</v>
      </c>
      <c r="C254" t="s">
        <v>23</v>
      </c>
      <c r="D254" t="s">
        <v>16</v>
      </c>
      <c r="E254" t="s">
        <v>19</v>
      </c>
      <c r="F254">
        <v>5896.59</v>
      </c>
      <c r="G254">
        <v>6</v>
      </c>
      <c r="H254">
        <v>759.18</v>
      </c>
    </row>
    <row r="255" spans="1:8" x14ac:dyDescent="0.35">
      <c r="A255" t="s">
        <v>273</v>
      </c>
      <c r="B255" s="2">
        <v>45085</v>
      </c>
      <c r="C255" t="s">
        <v>15</v>
      </c>
      <c r="D255" t="s">
        <v>16</v>
      </c>
      <c r="E255" t="s">
        <v>19</v>
      </c>
      <c r="F255">
        <v>709.66</v>
      </c>
      <c r="G255">
        <v>2</v>
      </c>
      <c r="H255">
        <v>250.72</v>
      </c>
    </row>
    <row r="256" spans="1:8" x14ac:dyDescent="0.35">
      <c r="A256" t="s">
        <v>274</v>
      </c>
      <c r="B256" s="2">
        <v>45604</v>
      </c>
      <c r="C256" t="s">
        <v>25</v>
      </c>
      <c r="D256" t="s">
        <v>16</v>
      </c>
      <c r="E256" t="s">
        <v>11</v>
      </c>
      <c r="F256">
        <v>5687.31</v>
      </c>
      <c r="G256">
        <v>6</v>
      </c>
      <c r="H256">
        <v>703.59</v>
      </c>
    </row>
    <row r="257" spans="1:8" x14ac:dyDescent="0.35">
      <c r="A257" t="s">
        <v>275</v>
      </c>
      <c r="B257" s="2">
        <v>45084</v>
      </c>
      <c r="C257" t="s">
        <v>25</v>
      </c>
      <c r="D257" t="s">
        <v>16</v>
      </c>
      <c r="E257" t="s">
        <v>21</v>
      </c>
      <c r="F257">
        <v>665.41</v>
      </c>
      <c r="G257">
        <v>3</v>
      </c>
      <c r="H257">
        <v>161.06</v>
      </c>
    </row>
    <row r="258" spans="1:8" x14ac:dyDescent="0.35">
      <c r="A258" t="s">
        <v>276</v>
      </c>
      <c r="B258" s="2">
        <v>45375</v>
      </c>
      <c r="C258" t="s">
        <v>25</v>
      </c>
      <c r="D258" t="s">
        <v>16</v>
      </c>
      <c r="E258" t="s">
        <v>19</v>
      </c>
      <c r="F258">
        <v>466.63</v>
      </c>
      <c r="G258">
        <v>1</v>
      </c>
      <c r="H258">
        <v>340.47</v>
      </c>
    </row>
    <row r="259" spans="1:8" x14ac:dyDescent="0.35">
      <c r="A259" t="s">
        <v>277</v>
      </c>
      <c r="B259" s="2">
        <v>45552</v>
      </c>
      <c r="C259" t="s">
        <v>15</v>
      </c>
      <c r="D259" t="s">
        <v>16</v>
      </c>
      <c r="E259" t="s">
        <v>21</v>
      </c>
      <c r="F259">
        <v>4289.1099999999997</v>
      </c>
      <c r="G259">
        <v>5</v>
      </c>
      <c r="H259">
        <v>606.87</v>
      </c>
    </row>
    <row r="260" spans="1:8" x14ac:dyDescent="0.35">
      <c r="A260" t="s">
        <v>278</v>
      </c>
      <c r="B260" s="2">
        <v>45243</v>
      </c>
      <c r="C260" t="s">
        <v>15</v>
      </c>
      <c r="D260" t="s">
        <v>16</v>
      </c>
      <c r="E260" t="s">
        <v>19</v>
      </c>
      <c r="F260">
        <v>6831.06</v>
      </c>
      <c r="G260">
        <v>8</v>
      </c>
      <c r="H260">
        <v>725.1</v>
      </c>
    </row>
    <row r="261" spans="1:8" x14ac:dyDescent="0.35">
      <c r="A261" t="s">
        <v>279</v>
      </c>
      <c r="B261" s="2">
        <v>45399</v>
      </c>
      <c r="C261" t="s">
        <v>9</v>
      </c>
      <c r="D261" t="s">
        <v>10</v>
      </c>
      <c r="E261" t="s">
        <v>21</v>
      </c>
      <c r="F261">
        <v>4078.75</v>
      </c>
      <c r="G261">
        <v>5</v>
      </c>
      <c r="H261">
        <v>626.94000000000005</v>
      </c>
    </row>
    <row r="262" spans="1:8" x14ac:dyDescent="0.35">
      <c r="A262" t="s">
        <v>280</v>
      </c>
      <c r="B262" s="2">
        <v>45131</v>
      </c>
      <c r="C262" t="s">
        <v>18</v>
      </c>
      <c r="D262" t="s">
        <v>10</v>
      </c>
      <c r="E262" t="s">
        <v>19</v>
      </c>
      <c r="F262">
        <v>1535.4</v>
      </c>
      <c r="G262">
        <v>10</v>
      </c>
      <c r="H262">
        <v>127.95</v>
      </c>
    </row>
    <row r="263" spans="1:8" x14ac:dyDescent="0.35">
      <c r="A263" t="s">
        <v>281</v>
      </c>
      <c r="B263" s="2">
        <v>45307</v>
      </c>
      <c r="C263" t="s">
        <v>9</v>
      </c>
      <c r="D263" t="s">
        <v>10</v>
      </c>
      <c r="E263" t="s">
        <v>21</v>
      </c>
      <c r="F263">
        <v>9330.2099999999991</v>
      </c>
      <c r="G263">
        <v>9</v>
      </c>
      <c r="H263">
        <v>748.75</v>
      </c>
    </row>
    <row r="264" spans="1:8" x14ac:dyDescent="0.35">
      <c r="A264" t="s">
        <v>282</v>
      </c>
      <c r="B264" s="2">
        <v>45218</v>
      </c>
      <c r="C264" t="s">
        <v>25</v>
      </c>
      <c r="D264" t="s">
        <v>16</v>
      </c>
      <c r="E264" t="s">
        <v>11</v>
      </c>
      <c r="F264">
        <v>1487.77</v>
      </c>
      <c r="G264">
        <v>2</v>
      </c>
      <c r="H264">
        <v>615.23</v>
      </c>
    </row>
    <row r="265" spans="1:8" x14ac:dyDescent="0.35">
      <c r="A265" t="s">
        <v>283</v>
      </c>
      <c r="B265" s="2">
        <v>45374</v>
      </c>
      <c r="C265" t="s">
        <v>25</v>
      </c>
      <c r="D265" t="s">
        <v>16</v>
      </c>
      <c r="E265" t="s">
        <v>19</v>
      </c>
      <c r="F265">
        <v>1802.72</v>
      </c>
      <c r="G265">
        <v>2</v>
      </c>
      <c r="H265">
        <v>758.2</v>
      </c>
    </row>
    <row r="266" spans="1:8" x14ac:dyDescent="0.35">
      <c r="A266" t="s">
        <v>284</v>
      </c>
      <c r="B266" s="2">
        <v>44954</v>
      </c>
      <c r="C266" t="s">
        <v>18</v>
      </c>
      <c r="D266" t="s">
        <v>10</v>
      </c>
      <c r="E266" t="s">
        <v>26</v>
      </c>
      <c r="F266">
        <v>560.36</v>
      </c>
      <c r="G266">
        <v>7</v>
      </c>
      <c r="H266">
        <v>61.54</v>
      </c>
    </row>
    <row r="267" spans="1:8" x14ac:dyDescent="0.35">
      <c r="A267" t="s">
        <v>285</v>
      </c>
      <c r="B267" s="2">
        <v>45010</v>
      </c>
      <c r="C267" t="s">
        <v>15</v>
      </c>
      <c r="D267" t="s">
        <v>16</v>
      </c>
      <c r="E267" t="s">
        <v>21</v>
      </c>
      <c r="F267">
        <v>1437.18</v>
      </c>
      <c r="G267">
        <v>6</v>
      </c>
      <c r="H267">
        <v>195.14</v>
      </c>
    </row>
    <row r="268" spans="1:8" x14ac:dyDescent="0.35">
      <c r="A268" t="s">
        <v>286</v>
      </c>
      <c r="B268" s="2">
        <v>45076</v>
      </c>
      <c r="C268" t="s">
        <v>13</v>
      </c>
      <c r="D268" t="s">
        <v>10</v>
      </c>
      <c r="E268" t="s">
        <v>26</v>
      </c>
      <c r="F268">
        <v>219.52</v>
      </c>
      <c r="G268">
        <v>3</v>
      </c>
      <c r="H268">
        <v>49.88</v>
      </c>
    </row>
    <row r="269" spans="1:8" x14ac:dyDescent="0.35">
      <c r="A269" t="s">
        <v>287</v>
      </c>
      <c r="B269" s="2">
        <v>45649</v>
      </c>
      <c r="C269" t="s">
        <v>18</v>
      </c>
      <c r="D269" t="s">
        <v>10</v>
      </c>
      <c r="E269" t="s">
        <v>19</v>
      </c>
      <c r="F269">
        <v>3261.42</v>
      </c>
      <c r="G269">
        <v>8</v>
      </c>
      <c r="H269">
        <v>369.91</v>
      </c>
    </row>
    <row r="270" spans="1:8" x14ac:dyDescent="0.35">
      <c r="A270" t="s">
        <v>288</v>
      </c>
      <c r="B270" s="2">
        <v>45189</v>
      </c>
      <c r="C270" t="s">
        <v>13</v>
      </c>
      <c r="D270" t="s">
        <v>10</v>
      </c>
      <c r="E270" t="s">
        <v>11</v>
      </c>
      <c r="F270">
        <v>3543.02</v>
      </c>
      <c r="G270">
        <v>4</v>
      </c>
      <c r="H270">
        <v>671.27</v>
      </c>
    </row>
    <row r="271" spans="1:8" x14ac:dyDescent="0.35">
      <c r="A271" t="s">
        <v>289</v>
      </c>
      <c r="B271" s="2">
        <v>45040</v>
      </c>
      <c r="C271" t="s">
        <v>9</v>
      </c>
      <c r="D271" t="s">
        <v>10</v>
      </c>
      <c r="E271" t="s">
        <v>21</v>
      </c>
      <c r="F271">
        <v>1179.53</v>
      </c>
      <c r="G271">
        <v>5</v>
      </c>
      <c r="H271">
        <v>205.36</v>
      </c>
    </row>
    <row r="272" spans="1:8" x14ac:dyDescent="0.35">
      <c r="A272" t="s">
        <v>290</v>
      </c>
      <c r="B272" s="2">
        <v>45581</v>
      </c>
      <c r="C272" t="s">
        <v>15</v>
      </c>
      <c r="D272" t="s">
        <v>16</v>
      </c>
      <c r="E272" t="s">
        <v>21</v>
      </c>
      <c r="F272">
        <v>4309.0200000000004</v>
      </c>
      <c r="G272">
        <v>10</v>
      </c>
      <c r="H272">
        <v>376.55</v>
      </c>
    </row>
    <row r="273" spans="1:8" x14ac:dyDescent="0.35">
      <c r="A273" t="s">
        <v>291</v>
      </c>
      <c r="B273" s="2">
        <v>45574</v>
      </c>
      <c r="C273" t="s">
        <v>18</v>
      </c>
      <c r="D273" t="s">
        <v>10</v>
      </c>
      <c r="E273" t="s">
        <v>11</v>
      </c>
      <c r="F273">
        <v>5850.55</v>
      </c>
      <c r="G273">
        <v>9</v>
      </c>
      <c r="H273">
        <v>468.54</v>
      </c>
    </row>
    <row r="274" spans="1:8" x14ac:dyDescent="0.35">
      <c r="A274" t="s">
        <v>292</v>
      </c>
      <c r="B274" s="2">
        <v>44928</v>
      </c>
      <c r="C274" t="s">
        <v>23</v>
      </c>
      <c r="D274" t="s">
        <v>16</v>
      </c>
      <c r="E274" t="s">
        <v>21</v>
      </c>
      <c r="F274">
        <v>3921.04</v>
      </c>
      <c r="G274">
        <v>10</v>
      </c>
      <c r="H274">
        <v>295.2</v>
      </c>
    </row>
    <row r="275" spans="1:8" x14ac:dyDescent="0.35">
      <c r="A275" t="s">
        <v>293</v>
      </c>
      <c r="B275" s="2">
        <v>45463</v>
      </c>
      <c r="C275" t="s">
        <v>15</v>
      </c>
      <c r="D275" t="s">
        <v>16</v>
      </c>
      <c r="E275" t="s">
        <v>11</v>
      </c>
      <c r="F275">
        <v>572.30999999999995</v>
      </c>
      <c r="G275">
        <v>6</v>
      </c>
      <c r="H275">
        <v>72.790000000000006</v>
      </c>
    </row>
    <row r="276" spans="1:8" x14ac:dyDescent="0.35">
      <c r="A276" t="s">
        <v>294</v>
      </c>
      <c r="B276" s="2">
        <v>45326</v>
      </c>
      <c r="C276" t="s">
        <v>25</v>
      </c>
      <c r="D276" t="s">
        <v>16</v>
      </c>
      <c r="E276" t="s">
        <v>11</v>
      </c>
      <c r="F276">
        <v>541.65</v>
      </c>
      <c r="G276">
        <v>8</v>
      </c>
      <c r="H276">
        <v>53.96</v>
      </c>
    </row>
    <row r="277" spans="1:8" x14ac:dyDescent="0.35">
      <c r="A277" t="s">
        <v>295</v>
      </c>
      <c r="B277" s="2">
        <v>44943</v>
      </c>
      <c r="C277" t="s">
        <v>23</v>
      </c>
      <c r="D277" t="s">
        <v>16</v>
      </c>
      <c r="E277" t="s">
        <v>26</v>
      </c>
      <c r="F277">
        <v>4716.8500000000004</v>
      </c>
      <c r="G277">
        <v>6</v>
      </c>
      <c r="H277">
        <v>635.04999999999995</v>
      </c>
    </row>
    <row r="278" spans="1:8" x14ac:dyDescent="0.35">
      <c r="A278" t="s">
        <v>296</v>
      </c>
      <c r="B278" s="2">
        <v>45522</v>
      </c>
      <c r="C278" t="s">
        <v>9</v>
      </c>
      <c r="D278" t="s">
        <v>10</v>
      </c>
      <c r="E278" t="s">
        <v>11</v>
      </c>
      <c r="F278">
        <v>923.69</v>
      </c>
      <c r="G278">
        <v>6</v>
      </c>
      <c r="H278">
        <v>124.06</v>
      </c>
    </row>
    <row r="279" spans="1:8" x14ac:dyDescent="0.35">
      <c r="A279" t="s">
        <v>297</v>
      </c>
      <c r="B279" s="2">
        <v>45628</v>
      </c>
      <c r="C279" t="s">
        <v>23</v>
      </c>
      <c r="D279" t="s">
        <v>16</v>
      </c>
      <c r="E279" t="s">
        <v>19</v>
      </c>
      <c r="F279">
        <v>8110.48</v>
      </c>
      <c r="G279">
        <v>8</v>
      </c>
      <c r="H279">
        <v>785.04</v>
      </c>
    </row>
    <row r="280" spans="1:8" x14ac:dyDescent="0.35">
      <c r="A280" t="s">
        <v>298</v>
      </c>
      <c r="B280" s="2">
        <v>44991</v>
      </c>
      <c r="C280" t="s">
        <v>15</v>
      </c>
      <c r="D280" t="s">
        <v>16</v>
      </c>
      <c r="E280" t="s">
        <v>19</v>
      </c>
      <c r="F280">
        <v>461.39</v>
      </c>
      <c r="G280">
        <v>8</v>
      </c>
      <c r="H280">
        <v>48.85</v>
      </c>
    </row>
    <row r="281" spans="1:8" x14ac:dyDescent="0.35">
      <c r="A281" t="s">
        <v>299</v>
      </c>
      <c r="B281" s="2">
        <v>45250</v>
      </c>
      <c r="C281" t="s">
        <v>15</v>
      </c>
      <c r="D281" t="s">
        <v>16</v>
      </c>
      <c r="E281" t="s">
        <v>11</v>
      </c>
      <c r="F281">
        <v>3155.82</v>
      </c>
      <c r="G281">
        <v>5</v>
      </c>
      <c r="H281">
        <v>422</v>
      </c>
    </row>
    <row r="282" spans="1:8" x14ac:dyDescent="0.35">
      <c r="A282" t="s">
        <v>300</v>
      </c>
      <c r="B282" s="2">
        <v>45186</v>
      </c>
      <c r="C282" t="s">
        <v>25</v>
      </c>
      <c r="D282" t="s">
        <v>16</v>
      </c>
      <c r="E282" t="s">
        <v>21</v>
      </c>
      <c r="F282">
        <v>714.77</v>
      </c>
      <c r="G282">
        <v>1</v>
      </c>
      <c r="H282">
        <v>607.57000000000005</v>
      </c>
    </row>
    <row r="283" spans="1:8" x14ac:dyDescent="0.35">
      <c r="A283" t="s">
        <v>301</v>
      </c>
      <c r="B283" s="2">
        <v>45598</v>
      </c>
      <c r="C283" t="s">
        <v>23</v>
      </c>
      <c r="D283" t="s">
        <v>16</v>
      </c>
      <c r="E283" t="s">
        <v>11</v>
      </c>
      <c r="F283">
        <v>1985.73</v>
      </c>
      <c r="G283">
        <v>6</v>
      </c>
      <c r="H283">
        <v>233.11</v>
      </c>
    </row>
    <row r="284" spans="1:8" x14ac:dyDescent="0.35">
      <c r="A284" t="s">
        <v>302</v>
      </c>
      <c r="B284" s="2">
        <v>45377</v>
      </c>
      <c r="C284" t="s">
        <v>18</v>
      </c>
      <c r="D284" t="s">
        <v>10</v>
      </c>
      <c r="E284" t="s">
        <v>21</v>
      </c>
      <c r="F284">
        <v>2339.06</v>
      </c>
      <c r="G284">
        <v>7</v>
      </c>
      <c r="H284">
        <v>284.45</v>
      </c>
    </row>
    <row r="285" spans="1:8" x14ac:dyDescent="0.35">
      <c r="A285" t="s">
        <v>303</v>
      </c>
      <c r="B285" s="2">
        <v>45303</v>
      </c>
      <c r="C285" t="s">
        <v>9</v>
      </c>
      <c r="D285" t="s">
        <v>10</v>
      </c>
      <c r="E285" t="s">
        <v>21</v>
      </c>
      <c r="F285">
        <v>2325.42</v>
      </c>
      <c r="G285">
        <v>9</v>
      </c>
      <c r="H285">
        <v>228.04</v>
      </c>
    </row>
    <row r="286" spans="1:8" x14ac:dyDescent="0.35">
      <c r="A286" t="s">
        <v>304</v>
      </c>
      <c r="B286" s="2">
        <v>45367</v>
      </c>
      <c r="C286" t="s">
        <v>18</v>
      </c>
      <c r="D286" t="s">
        <v>10</v>
      </c>
      <c r="E286" t="s">
        <v>11</v>
      </c>
      <c r="F286">
        <v>9332.68</v>
      </c>
      <c r="G286">
        <v>10</v>
      </c>
      <c r="H286">
        <v>796.18</v>
      </c>
    </row>
    <row r="287" spans="1:8" x14ac:dyDescent="0.35">
      <c r="A287" t="s">
        <v>305</v>
      </c>
      <c r="B287" s="2">
        <v>45032</v>
      </c>
      <c r="C287" t="s">
        <v>23</v>
      </c>
      <c r="D287" t="s">
        <v>16</v>
      </c>
      <c r="E287" t="s">
        <v>26</v>
      </c>
      <c r="F287">
        <v>671.94</v>
      </c>
      <c r="G287">
        <v>2</v>
      </c>
      <c r="H287">
        <v>275.77999999999997</v>
      </c>
    </row>
    <row r="288" spans="1:8" x14ac:dyDescent="0.35">
      <c r="A288" t="s">
        <v>306</v>
      </c>
      <c r="B288" s="2">
        <v>45097</v>
      </c>
      <c r="C288" t="s">
        <v>18</v>
      </c>
      <c r="D288" t="s">
        <v>10</v>
      </c>
      <c r="E288" t="s">
        <v>21</v>
      </c>
      <c r="F288">
        <v>2628.92</v>
      </c>
      <c r="G288">
        <v>8</v>
      </c>
      <c r="H288">
        <v>294.20999999999998</v>
      </c>
    </row>
    <row r="289" spans="1:8" x14ac:dyDescent="0.35">
      <c r="A289" t="s">
        <v>307</v>
      </c>
      <c r="B289" s="2">
        <v>45208</v>
      </c>
      <c r="C289" t="s">
        <v>23</v>
      </c>
      <c r="D289" t="s">
        <v>16</v>
      </c>
      <c r="E289" t="s">
        <v>21</v>
      </c>
      <c r="F289">
        <v>106.41</v>
      </c>
      <c r="G289">
        <v>1</v>
      </c>
      <c r="H289">
        <v>78.53</v>
      </c>
    </row>
    <row r="290" spans="1:8" x14ac:dyDescent="0.35">
      <c r="A290" t="s">
        <v>308</v>
      </c>
      <c r="B290" s="2">
        <v>44958</v>
      </c>
      <c r="C290" t="s">
        <v>23</v>
      </c>
      <c r="D290" t="s">
        <v>16</v>
      </c>
      <c r="E290" t="s">
        <v>19</v>
      </c>
      <c r="F290">
        <v>2805.38</v>
      </c>
      <c r="G290">
        <v>3</v>
      </c>
      <c r="H290">
        <v>681.96</v>
      </c>
    </row>
    <row r="291" spans="1:8" x14ac:dyDescent="0.35">
      <c r="A291" t="s">
        <v>309</v>
      </c>
      <c r="B291" s="2">
        <v>45056</v>
      </c>
      <c r="C291" t="s">
        <v>18</v>
      </c>
      <c r="D291" t="s">
        <v>10</v>
      </c>
      <c r="E291" t="s">
        <v>11</v>
      </c>
      <c r="F291">
        <v>554.30999999999995</v>
      </c>
      <c r="G291">
        <v>2</v>
      </c>
      <c r="H291">
        <v>204.08</v>
      </c>
    </row>
    <row r="292" spans="1:8" x14ac:dyDescent="0.35">
      <c r="A292" t="s">
        <v>310</v>
      </c>
      <c r="B292" s="2">
        <v>45507</v>
      </c>
      <c r="C292" t="s">
        <v>23</v>
      </c>
      <c r="D292" t="s">
        <v>16</v>
      </c>
      <c r="E292" t="s">
        <v>21</v>
      </c>
      <c r="F292">
        <v>674.8</v>
      </c>
      <c r="G292">
        <v>1</v>
      </c>
      <c r="H292">
        <v>491.97</v>
      </c>
    </row>
    <row r="293" spans="1:8" x14ac:dyDescent="0.35">
      <c r="A293" t="s">
        <v>311</v>
      </c>
      <c r="B293" s="2">
        <v>45381</v>
      </c>
      <c r="C293" t="s">
        <v>23</v>
      </c>
      <c r="D293" t="s">
        <v>16</v>
      </c>
      <c r="E293" t="s">
        <v>26</v>
      </c>
      <c r="F293">
        <v>1226.94</v>
      </c>
      <c r="G293">
        <v>2</v>
      </c>
      <c r="H293">
        <v>467.66</v>
      </c>
    </row>
    <row r="294" spans="1:8" x14ac:dyDescent="0.35">
      <c r="A294" t="s">
        <v>312</v>
      </c>
      <c r="B294" s="2">
        <v>45592</v>
      </c>
      <c r="C294" t="s">
        <v>18</v>
      </c>
      <c r="D294" t="s">
        <v>10</v>
      </c>
      <c r="E294" t="s">
        <v>26</v>
      </c>
      <c r="F294">
        <v>1229.56</v>
      </c>
      <c r="G294">
        <v>5</v>
      </c>
      <c r="H294">
        <v>214.7</v>
      </c>
    </row>
    <row r="295" spans="1:8" x14ac:dyDescent="0.35">
      <c r="A295" t="s">
        <v>313</v>
      </c>
      <c r="B295" s="2">
        <v>45438</v>
      </c>
      <c r="C295" t="s">
        <v>9</v>
      </c>
      <c r="D295" t="s">
        <v>10</v>
      </c>
      <c r="E295" t="s">
        <v>19</v>
      </c>
      <c r="F295">
        <v>3837.1</v>
      </c>
      <c r="G295">
        <v>9</v>
      </c>
      <c r="H295">
        <v>321.85000000000002</v>
      </c>
    </row>
    <row r="296" spans="1:8" x14ac:dyDescent="0.35">
      <c r="A296" t="s">
        <v>314</v>
      </c>
      <c r="B296" s="2">
        <v>45647</v>
      </c>
      <c r="C296" t="s">
        <v>23</v>
      </c>
      <c r="D296" t="s">
        <v>16</v>
      </c>
      <c r="E296" t="s">
        <v>26</v>
      </c>
      <c r="F296">
        <v>2015.62</v>
      </c>
      <c r="G296">
        <v>8</v>
      </c>
      <c r="H296">
        <v>187.36</v>
      </c>
    </row>
    <row r="297" spans="1:8" x14ac:dyDescent="0.35">
      <c r="A297" t="s">
        <v>315</v>
      </c>
      <c r="B297" s="2">
        <v>45131</v>
      </c>
      <c r="C297" t="s">
        <v>9</v>
      </c>
      <c r="D297" t="s">
        <v>10</v>
      </c>
      <c r="E297" t="s">
        <v>21</v>
      </c>
      <c r="F297">
        <v>284.37</v>
      </c>
      <c r="G297">
        <v>2</v>
      </c>
      <c r="H297">
        <v>125.87</v>
      </c>
    </row>
    <row r="298" spans="1:8" x14ac:dyDescent="0.35">
      <c r="A298" t="s">
        <v>316</v>
      </c>
      <c r="B298" s="2">
        <v>45016</v>
      </c>
      <c r="C298" t="s">
        <v>15</v>
      </c>
      <c r="D298" t="s">
        <v>16</v>
      </c>
      <c r="E298" t="s">
        <v>21</v>
      </c>
      <c r="F298">
        <v>4491.2</v>
      </c>
      <c r="G298">
        <v>6</v>
      </c>
      <c r="H298">
        <v>540.91999999999996</v>
      </c>
    </row>
    <row r="299" spans="1:8" x14ac:dyDescent="0.35">
      <c r="A299" t="s">
        <v>317</v>
      </c>
      <c r="B299" s="2">
        <v>45234</v>
      </c>
      <c r="C299" t="s">
        <v>25</v>
      </c>
      <c r="D299" t="s">
        <v>16</v>
      </c>
      <c r="E299" t="s">
        <v>26</v>
      </c>
      <c r="F299">
        <v>2538.2800000000002</v>
      </c>
      <c r="G299">
        <v>3</v>
      </c>
      <c r="H299">
        <v>575.21</v>
      </c>
    </row>
    <row r="300" spans="1:8" x14ac:dyDescent="0.35">
      <c r="A300" t="s">
        <v>318</v>
      </c>
      <c r="B300" s="2">
        <v>45297</v>
      </c>
      <c r="C300" t="s">
        <v>9</v>
      </c>
      <c r="D300" t="s">
        <v>10</v>
      </c>
      <c r="E300" t="s">
        <v>19</v>
      </c>
      <c r="F300">
        <v>2620.85</v>
      </c>
      <c r="G300">
        <v>9</v>
      </c>
      <c r="H300">
        <v>194.91</v>
      </c>
    </row>
    <row r="301" spans="1:8" x14ac:dyDescent="0.35">
      <c r="A301" t="s">
        <v>319</v>
      </c>
      <c r="B301" s="2">
        <v>45432</v>
      </c>
      <c r="C301" t="s">
        <v>15</v>
      </c>
      <c r="D301" t="s">
        <v>16</v>
      </c>
      <c r="E301" t="s">
        <v>19</v>
      </c>
      <c r="F301">
        <v>400.67</v>
      </c>
      <c r="G301">
        <v>1</v>
      </c>
      <c r="H301">
        <v>301.5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4E99-BAF5-4FA6-9F74-06D4F43B545C}">
  <dimension ref="A2:K56"/>
  <sheetViews>
    <sheetView topLeftCell="A3" zoomScale="98" zoomScaleNormal="98" workbookViewId="0">
      <selection activeCell="B9" sqref="B9:F14"/>
    </sheetView>
  </sheetViews>
  <sheetFormatPr defaultRowHeight="14.5" x14ac:dyDescent="0.35"/>
  <cols>
    <col min="1" max="1" width="12.6328125" bestFit="1" customWidth="1"/>
    <col min="2" max="2" width="15.54296875" bestFit="1" customWidth="1"/>
    <col min="3" max="3" width="10" bestFit="1" customWidth="1"/>
    <col min="4" max="4" width="10.90625" bestFit="1" customWidth="1"/>
    <col min="5" max="5" width="12.08984375" bestFit="1" customWidth="1"/>
    <col min="6" max="6" width="11.26953125" customWidth="1"/>
    <col min="8" max="8" width="12.6328125" bestFit="1" customWidth="1"/>
    <col min="9" max="9" width="15.54296875" bestFit="1" customWidth="1"/>
    <col min="10" max="11" width="11.08984375" bestFit="1" customWidth="1"/>
  </cols>
  <sheetData>
    <row r="2" spans="1:11" x14ac:dyDescent="0.35">
      <c r="H2" t="s">
        <v>5</v>
      </c>
    </row>
    <row r="3" spans="1:11" x14ac:dyDescent="0.35">
      <c r="B3" s="8" t="s">
        <v>326</v>
      </c>
      <c r="C3" t="s">
        <v>327</v>
      </c>
      <c r="D3" t="s">
        <v>328</v>
      </c>
      <c r="E3" t="s">
        <v>329</v>
      </c>
      <c r="H3" s="9" t="s">
        <v>326</v>
      </c>
      <c r="I3" s="9" t="s">
        <v>348</v>
      </c>
    </row>
    <row r="4" spans="1:11" x14ac:dyDescent="0.35">
      <c r="A4" s="10" t="s">
        <v>323</v>
      </c>
      <c r="B4">
        <v>365643.99000000028</v>
      </c>
      <c r="C4">
        <v>724</v>
      </c>
      <c r="D4">
        <v>57541.749999999985</v>
      </c>
      <c r="E4" s="8">
        <v>308102.24000000028</v>
      </c>
      <c r="H4" s="9" t="s">
        <v>322</v>
      </c>
      <c r="I4" t="s">
        <v>323</v>
      </c>
      <c r="J4" t="s">
        <v>324</v>
      </c>
      <c r="K4" t="s">
        <v>325</v>
      </c>
    </row>
    <row r="5" spans="1:11" x14ac:dyDescent="0.35">
      <c r="A5" s="10" t="s">
        <v>324</v>
      </c>
      <c r="B5">
        <v>475604.68999999954</v>
      </c>
      <c r="C5">
        <v>899</v>
      </c>
      <c r="D5">
        <v>63978.150000000031</v>
      </c>
      <c r="E5" s="8">
        <v>411626.53999999951</v>
      </c>
      <c r="H5" s="10" t="s">
        <v>350</v>
      </c>
      <c r="I5" s="8">
        <v>109932.46999999999</v>
      </c>
      <c r="J5" s="8">
        <v>110028.64000000001</v>
      </c>
      <c r="K5" s="8">
        <v>219961.11</v>
      </c>
    </row>
    <row r="6" spans="1:11" x14ac:dyDescent="0.35">
      <c r="A6" s="10" t="s">
        <v>325</v>
      </c>
      <c r="B6">
        <v>841248.67999999982</v>
      </c>
      <c r="C6">
        <v>1623</v>
      </c>
      <c r="D6">
        <v>121519.90000000002</v>
      </c>
      <c r="E6" s="8">
        <v>719728.78000000084</v>
      </c>
      <c r="H6" s="10" t="s">
        <v>351</v>
      </c>
      <c r="I6" s="8">
        <v>70357.790000000008</v>
      </c>
      <c r="J6" s="8">
        <v>103062.17000000001</v>
      </c>
      <c r="K6" s="8">
        <v>173419.96000000002</v>
      </c>
    </row>
    <row r="7" spans="1:11" x14ac:dyDescent="0.35">
      <c r="H7" s="10" t="s">
        <v>352</v>
      </c>
      <c r="I7" s="8">
        <v>82404.929999999993</v>
      </c>
      <c r="J7" s="8">
        <v>141176.32000000001</v>
      </c>
      <c r="K7" s="8">
        <v>223581.25</v>
      </c>
    </row>
    <row r="8" spans="1:11" x14ac:dyDescent="0.35">
      <c r="H8" s="10" t="s">
        <v>353</v>
      </c>
      <c r="I8" s="8">
        <v>102948.79999999997</v>
      </c>
      <c r="J8" s="8">
        <v>121337.56</v>
      </c>
      <c r="K8" s="8">
        <v>224286.36</v>
      </c>
    </row>
    <row r="9" spans="1:11" x14ac:dyDescent="0.35">
      <c r="B9" s="10" t="s">
        <v>330</v>
      </c>
      <c r="H9" s="10" t="s">
        <v>325</v>
      </c>
      <c r="I9" s="8">
        <v>365643.99</v>
      </c>
      <c r="J9" s="8">
        <v>475604.69</v>
      </c>
      <c r="K9" s="8">
        <v>841248.68</v>
      </c>
    </row>
    <row r="10" spans="1:11" x14ac:dyDescent="0.35">
      <c r="C10" t="s">
        <v>332</v>
      </c>
      <c r="D10" t="s">
        <v>333</v>
      </c>
      <c r="E10" t="s">
        <v>346</v>
      </c>
    </row>
    <row r="11" spans="1:11" x14ac:dyDescent="0.35">
      <c r="B11" t="s">
        <v>5</v>
      </c>
      <c r="C11">
        <f>sales</f>
        <v>475604.68999999954</v>
      </c>
      <c r="D11">
        <v>365643.99000000028</v>
      </c>
      <c r="E11" s="11">
        <f>(C11-D11)/D11</f>
        <v>0.30073159413887585</v>
      </c>
      <c r="F11" s="12" t="str">
        <f>IF(E11&gt;0,"⬆️","⬇️")</f>
        <v>⬆️</v>
      </c>
      <c r="G11" s="12"/>
      <c r="H11" s="10" t="s">
        <v>6</v>
      </c>
    </row>
    <row r="12" spans="1:11" x14ac:dyDescent="0.35">
      <c r="B12" t="s">
        <v>6</v>
      </c>
      <c r="C12">
        <f>Quantity</f>
        <v>899</v>
      </c>
      <c r="D12">
        <v>724</v>
      </c>
      <c r="E12" s="11">
        <f t="shared" ref="E12:E14" si="0">(C12-D12)/D12</f>
        <v>0.24171270718232044</v>
      </c>
      <c r="F12" s="12" t="str">
        <f t="shared" ref="F12:F14" si="1">IF(E12&gt;0,"⬆️","⬇️")</f>
        <v>⬆️</v>
      </c>
      <c r="H12" s="9" t="s">
        <v>327</v>
      </c>
      <c r="I12" s="9" t="s">
        <v>348</v>
      </c>
    </row>
    <row r="13" spans="1:11" x14ac:dyDescent="0.35">
      <c r="B13" t="s">
        <v>7</v>
      </c>
      <c r="C13">
        <f>cost</f>
        <v>63978.150000000031</v>
      </c>
      <c r="D13">
        <v>57541.749999999985</v>
      </c>
      <c r="E13" s="11">
        <f t="shared" si="0"/>
        <v>0.11185617399540415</v>
      </c>
      <c r="F13" s="12" t="str">
        <f t="shared" si="1"/>
        <v>⬆️</v>
      </c>
      <c r="H13" s="9" t="s">
        <v>322</v>
      </c>
      <c r="I13" t="s">
        <v>323</v>
      </c>
      <c r="J13" t="s">
        <v>324</v>
      </c>
      <c r="K13" t="s">
        <v>325</v>
      </c>
    </row>
    <row r="14" spans="1:11" x14ac:dyDescent="0.35">
      <c r="B14" t="s">
        <v>331</v>
      </c>
      <c r="C14">
        <f>profit</f>
        <v>411626.53999999951</v>
      </c>
      <c r="D14" s="8">
        <v>308102.24000000028</v>
      </c>
      <c r="E14" s="11">
        <f t="shared" si="0"/>
        <v>0.33600632049932233</v>
      </c>
      <c r="F14" s="12" t="str">
        <f t="shared" si="1"/>
        <v>⬆️</v>
      </c>
      <c r="H14" s="10" t="s">
        <v>350</v>
      </c>
      <c r="I14">
        <v>202</v>
      </c>
      <c r="J14">
        <v>216</v>
      </c>
      <c r="K14">
        <v>418</v>
      </c>
    </row>
    <row r="15" spans="1:11" x14ac:dyDescent="0.35">
      <c r="H15" s="10" t="s">
        <v>351</v>
      </c>
      <c r="I15">
        <v>174</v>
      </c>
      <c r="J15">
        <v>189</v>
      </c>
      <c r="K15">
        <v>363</v>
      </c>
    </row>
    <row r="16" spans="1:11" x14ac:dyDescent="0.35">
      <c r="H16" s="10" t="s">
        <v>352</v>
      </c>
      <c r="I16">
        <v>146</v>
      </c>
      <c r="J16">
        <v>252</v>
      </c>
      <c r="K16">
        <v>398</v>
      </c>
    </row>
    <row r="17" spans="1:11" x14ac:dyDescent="0.35">
      <c r="H17" s="10" t="s">
        <v>353</v>
      </c>
      <c r="I17">
        <v>202</v>
      </c>
      <c r="J17">
        <v>242</v>
      </c>
      <c r="K17">
        <v>444</v>
      </c>
    </row>
    <row r="18" spans="1:11" x14ac:dyDescent="0.35">
      <c r="H18" s="10" t="s">
        <v>325</v>
      </c>
      <c r="I18">
        <v>724</v>
      </c>
      <c r="J18">
        <v>899</v>
      </c>
      <c r="K18">
        <v>1623</v>
      </c>
    </row>
    <row r="19" spans="1:11" x14ac:dyDescent="0.35">
      <c r="A19" t="s">
        <v>347</v>
      </c>
    </row>
    <row r="20" spans="1:11" x14ac:dyDescent="0.35">
      <c r="A20" s="9" t="s">
        <v>326</v>
      </c>
      <c r="B20" s="9" t="s">
        <v>348</v>
      </c>
      <c r="H20" s="10" t="s">
        <v>7</v>
      </c>
    </row>
    <row r="21" spans="1:11" x14ac:dyDescent="0.35">
      <c r="A21" s="9" t="s">
        <v>322</v>
      </c>
      <c r="B21" t="s">
        <v>323</v>
      </c>
      <c r="C21" t="s">
        <v>324</v>
      </c>
      <c r="D21" t="s">
        <v>325</v>
      </c>
      <c r="H21" s="9" t="s">
        <v>328</v>
      </c>
      <c r="I21" s="9" t="s">
        <v>348</v>
      </c>
    </row>
    <row r="22" spans="1:11" x14ac:dyDescent="0.35">
      <c r="A22" s="10" t="s">
        <v>334</v>
      </c>
      <c r="B22">
        <v>29902.450000000004</v>
      </c>
      <c r="C22">
        <v>35755.53</v>
      </c>
      <c r="D22">
        <v>65657.98000000001</v>
      </c>
      <c r="H22" s="9" t="s">
        <v>322</v>
      </c>
      <c r="I22" t="s">
        <v>323</v>
      </c>
      <c r="J22" t="s">
        <v>324</v>
      </c>
      <c r="K22" t="s">
        <v>325</v>
      </c>
    </row>
    <row r="23" spans="1:11" x14ac:dyDescent="0.35">
      <c r="A23" s="10" t="s">
        <v>340</v>
      </c>
      <c r="B23">
        <v>27457.3</v>
      </c>
      <c r="C23">
        <v>38638.26</v>
      </c>
      <c r="D23">
        <v>66095.56</v>
      </c>
      <c r="H23" s="10" t="s">
        <v>350</v>
      </c>
      <c r="I23" s="8">
        <v>14858.35</v>
      </c>
      <c r="J23" s="8">
        <v>14980.41</v>
      </c>
      <c r="K23" s="8">
        <v>29838.760000000002</v>
      </c>
    </row>
    <row r="24" spans="1:11" x14ac:dyDescent="0.35">
      <c r="A24" s="10" t="s">
        <v>336</v>
      </c>
      <c r="B24">
        <v>52572.72</v>
      </c>
      <c r="C24">
        <v>35634.850000000006</v>
      </c>
      <c r="D24">
        <v>88207.57</v>
      </c>
      <c r="H24" s="10" t="s">
        <v>351</v>
      </c>
      <c r="I24" s="8">
        <v>11681.549999999996</v>
      </c>
      <c r="J24" s="8">
        <v>12698.280000000002</v>
      </c>
      <c r="K24" s="8">
        <v>24379.829999999998</v>
      </c>
    </row>
    <row r="25" spans="1:11" x14ac:dyDescent="0.35">
      <c r="A25" s="10" t="s">
        <v>339</v>
      </c>
      <c r="B25">
        <v>36742.660000000003</v>
      </c>
      <c r="C25">
        <v>58242.11</v>
      </c>
      <c r="D25">
        <v>94984.77</v>
      </c>
      <c r="H25" s="10" t="s">
        <v>352</v>
      </c>
      <c r="I25" s="8">
        <v>15455.970000000003</v>
      </c>
      <c r="J25" s="8">
        <v>19318.900000000001</v>
      </c>
      <c r="K25" s="8">
        <v>34774.870000000003</v>
      </c>
    </row>
    <row r="26" spans="1:11" x14ac:dyDescent="0.35">
      <c r="A26" s="10" t="s">
        <v>341</v>
      </c>
      <c r="B26">
        <v>7677.8000000000011</v>
      </c>
      <c r="C26">
        <v>11831.57</v>
      </c>
      <c r="D26">
        <v>19509.370000000003</v>
      </c>
      <c r="H26" s="10" t="s">
        <v>353</v>
      </c>
      <c r="I26" s="8">
        <v>15545.880000000001</v>
      </c>
      <c r="J26" s="8">
        <v>16980.560000000001</v>
      </c>
      <c r="K26" s="8">
        <v>32526.440000000002</v>
      </c>
    </row>
    <row r="27" spans="1:11" x14ac:dyDescent="0.35">
      <c r="A27" s="10" t="s">
        <v>344</v>
      </c>
      <c r="B27">
        <v>25937.33</v>
      </c>
      <c r="C27">
        <v>32988.49</v>
      </c>
      <c r="D27">
        <v>58925.82</v>
      </c>
      <c r="H27" s="10" t="s">
        <v>325</v>
      </c>
      <c r="I27" s="8">
        <v>57541.75</v>
      </c>
      <c r="J27" s="8">
        <v>63978.150000000009</v>
      </c>
      <c r="K27" s="8">
        <v>121519.9</v>
      </c>
    </row>
    <row r="28" spans="1:11" x14ac:dyDescent="0.35">
      <c r="A28" s="10" t="s">
        <v>337</v>
      </c>
      <c r="B28">
        <v>7336.46</v>
      </c>
      <c r="C28">
        <v>53865.369999999988</v>
      </c>
      <c r="D28">
        <v>61201.829999999987</v>
      </c>
    </row>
    <row r="29" spans="1:11" x14ac:dyDescent="0.35">
      <c r="A29" s="10" t="s">
        <v>342</v>
      </c>
      <c r="B29">
        <v>44929.069999999992</v>
      </c>
      <c r="C29">
        <v>28180.969999999998</v>
      </c>
      <c r="D29">
        <v>73110.039999999994</v>
      </c>
      <c r="H29" s="10" t="s">
        <v>331</v>
      </c>
    </row>
    <row r="30" spans="1:11" x14ac:dyDescent="0.35">
      <c r="A30" s="10" t="s">
        <v>345</v>
      </c>
      <c r="B30">
        <v>30139.4</v>
      </c>
      <c r="C30">
        <v>59129.979999999996</v>
      </c>
      <c r="D30">
        <v>89269.38</v>
      </c>
      <c r="H30" s="9" t="s">
        <v>329</v>
      </c>
      <c r="I30" s="9" t="s">
        <v>348</v>
      </c>
    </row>
    <row r="31" spans="1:11" x14ac:dyDescent="0.35">
      <c r="A31" s="10" t="s">
        <v>343</v>
      </c>
      <c r="B31">
        <v>40537.450000000004</v>
      </c>
      <c r="C31">
        <v>50680.210000000006</v>
      </c>
      <c r="D31">
        <v>91217.66</v>
      </c>
      <c r="H31" s="9" t="s">
        <v>322</v>
      </c>
      <c r="I31" t="s">
        <v>323</v>
      </c>
      <c r="J31" t="s">
        <v>324</v>
      </c>
      <c r="K31" t="s">
        <v>325</v>
      </c>
    </row>
    <row r="32" spans="1:11" x14ac:dyDescent="0.35">
      <c r="A32" s="10" t="s">
        <v>335</v>
      </c>
      <c r="B32">
        <v>41939.229999999996</v>
      </c>
      <c r="C32">
        <v>48022.19</v>
      </c>
      <c r="D32">
        <v>89961.42</v>
      </c>
      <c r="H32" s="10" t="s">
        <v>350</v>
      </c>
      <c r="I32" s="8">
        <v>95074.119999999981</v>
      </c>
      <c r="J32" s="8">
        <v>95048.23000000001</v>
      </c>
      <c r="K32" s="8">
        <v>190122.34999999998</v>
      </c>
    </row>
    <row r="33" spans="1:11" x14ac:dyDescent="0.35">
      <c r="A33" s="10" t="s">
        <v>338</v>
      </c>
      <c r="B33">
        <v>20472.120000000003</v>
      </c>
      <c r="C33">
        <v>22635.16</v>
      </c>
      <c r="D33">
        <v>43107.28</v>
      </c>
      <c r="H33" s="10" t="s">
        <v>351</v>
      </c>
      <c r="I33" s="8">
        <v>58676.240000000013</v>
      </c>
      <c r="J33" s="8">
        <v>90363.890000000014</v>
      </c>
      <c r="K33" s="8">
        <v>149040.13</v>
      </c>
    </row>
    <row r="34" spans="1:11" x14ac:dyDescent="0.35">
      <c r="A34" s="10" t="s">
        <v>325</v>
      </c>
      <c r="B34">
        <v>365643.99</v>
      </c>
      <c r="C34">
        <v>475604.68999999994</v>
      </c>
      <c r="D34">
        <v>841248.68000000017</v>
      </c>
      <c r="H34" s="10" t="s">
        <v>352</v>
      </c>
      <c r="I34" s="8">
        <v>66948.959999999992</v>
      </c>
      <c r="J34" s="8">
        <v>121857.42000000001</v>
      </c>
      <c r="K34" s="8">
        <v>188806.37999999995</v>
      </c>
    </row>
    <row r="35" spans="1:11" x14ac:dyDescent="0.35">
      <c r="H35" s="10" t="s">
        <v>353</v>
      </c>
      <c r="I35" s="8">
        <v>87402.919999999969</v>
      </c>
      <c r="J35" s="8">
        <v>104357</v>
      </c>
      <c r="K35" s="8">
        <v>191759.91999999995</v>
      </c>
    </row>
    <row r="36" spans="1:11" x14ac:dyDescent="0.35">
      <c r="H36" s="10" t="s">
        <v>325</v>
      </c>
      <c r="I36" s="8">
        <v>308102.24000000011</v>
      </c>
      <c r="J36" s="8">
        <v>411626.53999999975</v>
      </c>
      <c r="K36" s="8">
        <v>719728.7799999998</v>
      </c>
    </row>
    <row r="37" spans="1:11" x14ac:dyDescent="0.35">
      <c r="A37" s="10" t="s">
        <v>2</v>
      </c>
    </row>
    <row r="38" spans="1:11" x14ac:dyDescent="0.35">
      <c r="A38" s="9" t="s">
        <v>326</v>
      </c>
      <c r="B38" s="9" t="s">
        <v>348</v>
      </c>
    </row>
    <row r="39" spans="1:11" x14ac:dyDescent="0.35">
      <c r="A39" s="9" t="s">
        <v>322</v>
      </c>
      <c r="B39" t="s">
        <v>323</v>
      </c>
      <c r="C39" t="s">
        <v>324</v>
      </c>
      <c r="D39" t="s">
        <v>325</v>
      </c>
    </row>
    <row r="40" spans="1:11" x14ac:dyDescent="0.35">
      <c r="A40" s="10" t="s">
        <v>25</v>
      </c>
      <c r="B40">
        <v>83732.830000000016</v>
      </c>
      <c r="C40">
        <v>81620.740000000005</v>
      </c>
      <c r="D40">
        <v>165353.57</v>
      </c>
    </row>
    <row r="41" spans="1:11" x14ac:dyDescent="0.35">
      <c r="A41" s="10" t="s">
        <v>23</v>
      </c>
      <c r="B41">
        <v>87038.010000000009</v>
      </c>
      <c r="C41">
        <v>55919.660000000018</v>
      </c>
      <c r="D41">
        <v>142957.67000000004</v>
      </c>
    </row>
    <row r="42" spans="1:11" x14ac:dyDescent="0.35">
      <c r="A42" s="10" t="s">
        <v>13</v>
      </c>
      <c r="B42">
        <v>63549.779999999984</v>
      </c>
      <c r="C42">
        <v>64330.260000000024</v>
      </c>
      <c r="D42">
        <v>127880.04000000001</v>
      </c>
    </row>
    <row r="43" spans="1:11" x14ac:dyDescent="0.35">
      <c r="A43" s="10" t="s">
        <v>18</v>
      </c>
      <c r="B43">
        <v>37447.310000000005</v>
      </c>
      <c r="C43">
        <v>109494.29000000001</v>
      </c>
      <c r="D43">
        <v>146941.6</v>
      </c>
    </row>
    <row r="44" spans="1:11" x14ac:dyDescent="0.35">
      <c r="A44" s="10" t="s">
        <v>15</v>
      </c>
      <c r="B44">
        <v>42008.6</v>
      </c>
      <c r="C44">
        <v>105919.48000000004</v>
      </c>
      <c r="D44">
        <v>147928.08000000005</v>
      </c>
    </row>
    <row r="45" spans="1:11" x14ac:dyDescent="0.35">
      <c r="A45" s="10" t="s">
        <v>9</v>
      </c>
      <c r="B45">
        <v>51867.46</v>
      </c>
      <c r="C45">
        <v>58320.259999999995</v>
      </c>
      <c r="D45">
        <v>110187.72</v>
      </c>
    </row>
    <row r="46" spans="1:11" x14ac:dyDescent="0.35">
      <c r="A46" s="10" t="s">
        <v>325</v>
      </c>
      <c r="B46">
        <v>365643.99</v>
      </c>
      <c r="C46">
        <v>475604.69000000012</v>
      </c>
      <c r="D46">
        <v>841248.68</v>
      </c>
    </row>
    <row r="49" spans="1:4" x14ac:dyDescent="0.35">
      <c r="A49" s="10" t="s">
        <v>4</v>
      </c>
    </row>
    <row r="50" spans="1:4" x14ac:dyDescent="0.35">
      <c r="A50" s="9" t="s">
        <v>21</v>
      </c>
      <c r="B50" s="9" t="s">
        <v>348</v>
      </c>
    </row>
    <row r="51" spans="1:4" x14ac:dyDescent="0.35">
      <c r="A51" s="9" t="s">
        <v>322</v>
      </c>
      <c r="B51" t="s">
        <v>323</v>
      </c>
      <c r="C51" t="s">
        <v>324</v>
      </c>
      <c r="D51" t="s">
        <v>325</v>
      </c>
    </row>
    <row r="52" spans="1:4" x14ac:dyDescent="0.35">
      <c r="A52" s="10" t="s">
        <v>11</v>
      </c>
      <c r="B52">
        <v>61994.55999999999</v>
      </c>
      <c r="C52">
        <v>121472.34000000003</v>
      </c>
      <c r="D52">
        <v>183466.90000000002</v>
      </c>
    </row>
    <row r="53" spans="1:4" x14ac:dyDescent="0.35">
      <c r="A53" s="10" t="s">
        <v>26</v>
      </c>
      <c r="B53">
        <v>88852.969999999987</v>
      </c>
      <c r="C53">
        <v>93410.199999999968</v>
      </c>
      <c r="D53">
        <v>182263.16999999995</v>
      </c>
    </row>
    <row r="54" spans="1:4" x14ac:dyDescent="0.35">
      <c r="A54" s="10" t="s">
        <v>21</v>
      </c>
      <c r="B54">
        <v>123927.84999999996</v>
      </c>
      <c r="C54">
        <v>145397.91999999998</v>
      </c>
      <c r="D54">
        <v>269325.76999999996</v>
      </c>
    </row>
    <row r="55" spans="1:4" x14ac:dyDescent="0.35">
      <c r="A55" s="10" t="s">
        <v>19</v>
      </c>
      <c r="B55">
        <v>90868.61</v>
      </c>
      <c r="C55">
        <v>115324.23000000001</v>
      </c>
      <c r="D55">
        <v>206192.84000000003</v>
      </c>
    </row>
    <row r="56" spans="1:4" x14ac:dyDescent="0.35">
      <c r="A56" s="10" t="s">
        <v>325</v>
      </c>
      <c r="B56">
        <v>365643.98999999993</v>
      </c>
      <c r="C56">
        <v>475604.68999999994</v>
      </c>
      <c r="D56">
        <v>841248.67999999993</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486EF-A92F-4287-A9C0-7D78974304FB}">
  <dimension ref="A1"/>
  <sheetViews>
    <sheetView view="pageBreakPreview" topLeftCell="B5" zoomScaleNormal="100" zoomScaleSheetLayoutView="100" workbookViewId="0">
      <selection activeCell="T5" sqref="T5"/>
    </sheetView>
  </sheetViews>
  <sheetFormatPr defaultRowHeight="14.5" x14ac:dyDescent="0.35"/>
  <cols>
    <col min="1" max="16384" width="8.7265625" style="13"/>
  </cols>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86A90-E92B-494D-852D-E11B36BA4BCF}">
  <dimension ref="A1:K301"/>
  <sheetViews>
    <sheetView topLeftCell="A2" workbookViewId="0">
      <selection activeCell="B2" sqref="B1:B2"/>
    </sheetView>
  </sheetViews>
  <sheetFormatPr defaultRowHeight="14.5" x14ac:dyDescent="0.35"/>
  <cols>
    <col min="1" max="1" width="9.453125" style="4" customWidth="1"/>
    <col min="2" max="2" width="10.453125" style="6" bestFit="1" customWidth="1"/>
    <col min="3" max="4" width="10.453125" style="6" customWidth="1"/>
    <col min="5" max="5" width="12.453125" style="4" bestFit="1" customWidth="1"/>
    <col min="6" max="6" width="13.453125" style="4" bestFit="1" customWidth="1"/>
    <col min="7" max="7" width="8.7265625" style="4"/>
    <col min="8" max="8" width="10.90625" style="8" bestFit="1" customWidth="1"/>
    <col min="9" max="9" width="10.26953125" customWidth="1"/>
    <col min="10" max="10" width="8.7265625" style="8"/>
  </cols>
  <sheetData>
    <row r="1" spans="1:11" x14ac:dyDescent="0.35">
      <c r="A1" s="3" t="s">
        <v>0</v>
      </c>
      <c r="B1" s="5" t="s">
        <v>1</v>
      </c>
      <c r="C1" s="5" t="s">
        <v>321</v>
      </c>
      <c r="D1" s="5" t="s">
        <v>320</v>
      </c>
      <c r="E1" s="3" t="s">
        <v>2</v>
      </c>
      <c r="F1" s="3" t="s">
        <v>3</v>
      </c>
      <c r="G1" s="3" t="s">
        <v>4</v>
      </c>
      <c r="H1" s="7" t="s">
        <v>5</v>
      </c>
      <c r="I1" s="1" t="s">
        <v>6</v>
      </c>
      <c r="J1" s="7" t="s">
        <v>7</v>
      </c>
      <c r="K1" s="1" t="s">
        <v>349</v>
      </c>
    </row>
    <row r="2" spans="1:11" x14ac:dyDescent="0.35">
      <c r="A2" s="4" t="s">
        <v>8</v>
      </c>
      <c r="B2" s="6">
        <v>44952</v>
      </c>
      <c r="C2" s="6" t="str">
        <f>TEXT(Table13[[#This Row],[Date]],"MMM")</f>
        <v>Jan</v>
      </c>
      <c r="D2" s="6" t="str">
        <f>TEXT(Table13[[#This Row],[Date]],"YYYY")</f>
        <v>2023</v>
      </c>
      <c r="E2" s="4" t="s">
        <v>9</v>
      </c>
      <c r="F2" s="4" t="s">
        <v>10</v>
      </c>
      <c r="G2" s="4" t="s">
        <v>11</v>
      </c>
      <c r="H2" s="8">
        <v>1219.5</v>
      </c>
      <c r="I2">
        <v>5</v>
      </c>
      <c r="J2" s="8">
        <v>211.02</v>
      </c>
      <c r="K2" t="str">
        <f>"Q"&amp;ROUNDUP(MONTH(Table13[[#This Row],[Date]])/3,0)</f>
        <v>Q1</v>
      </c>
    </row>
    <row r="3" spans="1:11" x14ac:dyDescent="0.35">
      <c r="A3" s="4" t="s">
        <v>12</v>
      </c>
      <c r="B3" s="6">
        <v>45531</v>
      </c>
      <c r="C3" s="6" t="str">
        <f>TEXT(Table13[[#This Row],[Date]],"MMM")</f>
        <v>Aug</v>
      </c>
      <c r="D3" s="6" t="str">
        <f>TEXT(Table13[[#This Row],[Date]],"YYYY")</f>
        <v>2024</v>
      </c>
      <c r="E3" s="4" t="s">
        <v>13</v>
      </c>
      <c r="F3" s="4" t="s">
        <v>10</v>
      </c>
      <c r="G3" s="4" t="s">
        <v>11</v>
      </c>
      <c r="H3" s="8">
        <v>356.63</v>
      </c>
      <c r="I3">
        <v>7</v>
      </c>
      <c r="J3" s="8">
        <v>44.79</v>
      </c>
      <c r="K3" t="str">
        <f>"Q"&amp;ROUNDUP(MONTH(Table13[[#This Row],[Date]])/3,0)</f>
        <v>Q3</v>
      </c>
    </row>
    <row r="4" spans="1:11" x14ac:dyDescent="0.35">
      <c r="A4" s="4" t="s">
        <v>14</v>
      </c>
      <c r="B4" s="6">
        <v>45501</v>
      </c>
      <c r="C4" s="6" t="str">
        <f>TEXT(Table13[[#This Row],[Date]],"MMM")</f>
        <v>Jul</v>
      </c>
      <c r="D4" s="6" t="str">
        <f>TEXT(Table13[[#This Row],[Date]],"YYYY")</f>
        <v>2024</v>
      </c>
      <c r="E4" s="4" t="s">
        <v>15</v>
      </c>
      <c r="F4" s="4" t="s">
        <v>16</v>
      </c>
      <c r="G4" s="4" t="s">
        <v>11</v>
      </c>
      <c r="H4" s="8">
        <v>3194.55</v>
      </c>
      <c r="I4">
        <v>4</v>
      </c>
      <c r="J4" s="8">
        <v>578.5</v>
      </c>
      <c r="K4" t="str">
        <f>"Q"&amp;ROUNDUP(MONTH(Table13[[#This Row],[Date]])/3,0)</f>
        <v>Q3</v>
      </c>
    </row>
    <row r="5" spans="1:11" x14ac:dyDescent="0.35">
      <c r="A5" s="4" t="s">
        <v>17</v>
      </c>
      <c r="B5" s="6">
        <v>45386</v>
      </c>
      <c r="C5" s="6" t="str">
        <f>TEXT(Table13[[#This Row],[Date]],"MMM")</f>
        <v>Apr</v>
      </c>
      <c r="D5" s="6" t="str">
        <f>TEXT(Table13[[#This Row],[Date]],"YYYY")</f>
        <v>2024</v>
      </c>
      <c r="E5" s="4" t="s">
        <v>18</v>
      </c>
      <c r="F5" s="4" t="s">
        <v>10</v>
      </c>
      <c r="G5" s="4" t="s">
        <v>19</v>
      </c>
      <c r="H5" s="8">
        <v>3430.95</v>
      </c>
      <c r="I5">
        <v>10</v>
      </c>
      <c r="J5" s="8">
        <v>236.99</v>
      </c>
      <c r="K5" t="str">
        <f>"Q"&amp;ROUNDUP(MONTH(Table13[[#This Row],[Date]])/3,0)</f>
        <v>Q2</v>
      </c>
    </row>
    <row r="6" spans="1:11" x14ac:dyDescent="0.35">
      <c r="A6" s="4" t="s">
        <v>20</v>
      </c>
      <c r="B6" s="6">
        <v>45275</v>
      </c>
      <c r="C6" s="6" t="str">
        <f>TEXT(Table13[[#This Row],[Date]],"MMM")</f>
        <v>Dec</v>
      </c>
      <c r="D6" s="6" t="str">
        <f>TEXT(Table13[[#This Row],[Date]],"YYYY")</f>
        <v>2023</v>
      </c>
      <c r="E6" s="4" t="s">
        <v>15</v>
      </c>
      <c r="F6" s="4" t="s">
        <v>16</v>
      </c>
      <c r="G6" s="4" t="s">
        <v>21</v>
      </c>
      <c r="H6" s="8">
        <v>1047.44</v>
      </c>
      <c r="I6">
        <v>5</v>
      </c>
      <c r="J6" s="8">
        <v>141.27000000000001</v>
      </c>
      <c r="K6" t="str">
        <f>"Q"&amp;ROUNDUP(MONTH(Table13[[#This Row],[Date]])/3,0)</f>
        <v>Q4</v>
      </c>
    </row>
    <row r="7" spans="1:11" x14ac:dyDescent="0.35">
      <c r="A7" s="4" t="s">
        <v>22</v>
      </c>
      <c r="B7" s="6">
        <v>45021</v>
      </c>
      <c r="C7" s="6" t="str">
        <f>TEXT(Table13[[#This Row],[Date]],"MMM")</f>
        <v>Apr</v>
      </c>
      <c r="D7" s="6" t="str">
        <f>TEXT(Table13[[#This Row],[Date]],"YYYY")</f>
        <v>2023</v>
      </c>
      <c r="E7" s="4" t="s">
        <v>23</v>
      </c>
      <c r="F7" s="4" t="s">
        <v>16</v>
      </c>
      <c r="G7" s="4" t="s">
        <v>11</v>
      </c>
      <c r="H7" s="8">
        <v>961.37</v>
      </c>
      <c r="I7">
        <v>7</v>
      </c>
      <c r="J7" s="8">
        <v>95.44</v>
      </c>
      <c r="K7" t="str">
        <f>"Q"&amp;ROUNDUP(MONTH(Table13[[#This Row],[Date]])/3,0)</f>
        <v>Q2</v>
      </c>
    </row>
    <row r="8" spans="1:11" x14ac:dyDescent="0.35">
      <c r="A8" s="4" t="s">
        <v>24</v>
      </c>
      <c r="B8" s="6">
        <v>44971</v>
      </c>
      <c r="C8" s="6" t="str">
        <f>TEXT(Table13[[#This Row],[Date]],"MMM")</f>
        <v>Feb</v>
      </c>
      <c r="D8" s="6" t="str">
        <f>TEXT(Table13[[#This Row],[Date]],"YYYY")</f>
        <v>2023</v>
      </c>
      <c r="E8" s="4" t="s">
        <v>25</v>
      </c>
      <c r="F8" s="4" t="s">
        <v>16</v>
      </c>
      <c r="G8" s="4" t="s">
        <v>26</v>
      </c>
      <c r="H8" s="8">
        <v>5221.42</v>
      </c>
      <c r="I8">
        <v>8</v>
      </c>
      <c r="J8" s="8">
        <v>438.26</v>
      </c>
      <c r="K8" t="str">
        <f>"Q"&amp;ROUNDUP(MONTH(Table13[[#This Row],[Date]])/3,0)</f>
        <v>Q1</v>
      </c>
    </row>
    <row r="9" spans="1:11" x14ac:dyDescent="0.35">
      <c r="A9" s="4" t="s">
        <v>27</v>
      </c>
      <c r="B9" s="6">
        <v>45492</v>
      </c>
      <c r="C9" s="6" t="str">
        <f>TEXT(Table13[[#This Row],[Date]],"MMM")</f>
        <v>Jul</v>
      </c>
      <c r="D9" s="6" t="str">
        <f>TEXT(Table13[[#This Row],[Date]],"YYYY")</f>
        <v>2024</v>
      </c>
      <c r="E9" s="4" t="s">
        <v>18</v>
      </c>
      <c r="F9" s="4" t="s">
        <v>10</v>
      </c>
      <c r="G9" s="4" t="s">
        <v>11</v>
      </c>
      <c r="H9" s="8">
        <v>4493.2</v>
      </c>
      <c r="I9">
        <v>5</v>
      </c>
      <c r="J9" s="8">
        <v>666.94</v>
      </c>
      <c r="K9" t="str">
        <f>"Q"&amp;ROUNDUP(MONTH(Table13[[#This Row],[Date]])/3,0)</f>
        <v>Q3</v>
      </c>
    </row>
    <row r="10" spans="1:11" x14ac:dyDescent="0.35">
      <c r="A10" s="4" t="s">
        <v>28</v>
      </c>
      <c r="B10" s="6">
        <v>45648</v>
      </c>
      <c r="C10" s="6" t="str">
        <f>TEXT(Table13[[#This Row],[Date]],"MMM")</f>
        <v>Dec</v>
      </c>
      <c r="D10" s="6" t="str">
        <f>TEXT(Table13[[#This Row],[Date]],"YYYY")</f>
        <v>2024</v>
      </c>
      <c r="E10" s="4" t="s">
        <v>23</v>
      </c>
      <c r="F10" s="4" t="s">
        <v>16</v>
      </c>
      <c r="G10" s="4" t="s">
        <v>19</v>
      </c>
      <c r="H10" s="8">
        <v>132.79</v>
      </c>
      <c r="I10">
        <v>2</v>
      </c>
      <c r="J10" s="8">
        <v>55.74</v>
      </c>
      <c r="K10" t="str">
        <f>"Q"&amp;ROUNDUP(MONTH(Table13[[#This Row],[Date]])/3,0)</f>
        <v>Q4</v>
      </c>
    </row>
    <row r="11" spans="1:11" x14ac:dyDescent="0.35">
      <c r="A11" s="4" t="s">
        <v>29</v>
      </c>
      <c r="B11" s="6">
        <v>45165</v>
      </c>
      <c r="C11" s="6" t="str">
        <f>TEXT(Table13[[#This Row],[Date]],"MMM")</f>
        <v>Aug</v>
      </c>
      <c r="D11" s="6" t="str">
        <f>TEXT(Table13[[#This Row],[Date]],"YYYY")</f>
        <v>2023</v>
      </c>
      <c r="E11" s="4" t="s">
        <v>23</v>
      </c>
      <c r="F11" s="4" t="s">
        <v>16</v>
      </c>
      <c r="G11" s="4" t="s">
        <v>11</v>
      </c>
      <c r="H11" s="8">
        <v>811.1</v>
      </c>
      <c r="I11">
        <v>2</v>
      </c>
      <c r="J11" s="8">
        <v>316.5</v>
      </c>
      <c r="K11" t="str">
        <f>"Q"&amp;ROUNDUP(MONTH(Table13[[#This Row],[Date]])/3,0)</f>
        <v>Q3</v>
      </c>
    </row>
    <row r="12" spans="1:11" x14ac:dyDescent="0.35">
      <c r="A12" s="4" t="s">
        <v>30</v>
      </c>
      <c r="B12" s="6">
        <v>45306</v>
      </c>
      <c r="C12" s="6" t="str">
        <f>TEXT(Table13[[#This Row],[Date]],"MMM")</f>
        <v>Jan</v>
      </c>
      <c r="D12" s="6" t="str">
        <f>TEXT(Table13[[#This Row],[Date]],"YYYY")</f>
        <v>2024</v>
      </c>
      <c r="E12" s="4" t="s">
        <v>23</v>
      </c>
      <c r="F12" s="4" t="s">
        <v>16</v>
      </c>
      <c r="G12" s="4" t="s">
        <v>19</v>
      </c>
      <c r="H12" s="8">
        <v>1328.1</v>
      </c>
      <c r="I12">
        <v>6</v>
      </c>
      <c r="J12" s="8">
        <v>183.42</v>
      </c>
      <c r="K12" t="str">
        <f>"Q"&amp;ROUNDUP(MONTH(Table13[[#This Row],[Date]])/3,0)</f>
        <v>Q1</v>
      </c>
    </row>
    <row r="13" spans="1:11" x14ac:dyDescent="0.35">
      <c r="A13" s="4" t="s">
        <v>31</v>
      </c>
      <c r="B13" s="6">
        <v>45550</v>
      </c>
      <c r="C13" s="6" t="str">
        <f>TEXT(Table13[[#This Row],[Date]],"MMM")</f>
        <v>Sep</v>
      </c>
      <c r="D13" s="6" t="str">
        <f>TEXT(Table13[[#This Row],[Date]],"YYYY")</f>
        <v>2024</v>
      </c>
      <c r="E13" s="4" t="s">
        <v>9</v>
      </c>
      <c r="F13" s="4" t="s">
        <v>10</v>
      </c>
      <c r="G13" s="4" t="s">
        <v>11</v>
      </c>
      <c r="H13" s="8">
        <v>1569.15</v>
      </c>
      <c r="I13">
        <v>3</v>
      </c>
      <c r="J13" s="8">
        <v>436.63</v>
      </c>
      <c r="K13" t="str">
        <f>"Q"&amp;ROUNDUP(MONTH(Table13[[#This Row],[Date]])/3,0)</f>
        <v>Q3</v>
      </c>
    </row>
    <row r="14" spans="1:11" x14ac:dyDescent="0.35">
      <c r="A14" s="4" t="s">
        <v>32</v>
      </c>
      <c r="B14" s="6">
        <v>45203</v>
      </c>
      <c r="C14" s="6" t="str">
        <f>TEXT(Table13[[#This Row],[Date]],"MMM")</f>
        <v>Oct</v>
      </c>
      <c r="D14" s="6" t="str">
        <f>TEXT(Table13[[#This Row],[Date]],"YYYY")</f>
        <v>2023</v>
      </c>
      <c r="E14" s="4" t="s">
        <v>18</v>
      </c>
      <c r="F14" s="4" t="s">
        <v>10</v>
      </c>
      <c r="G14" s="4" t="s">
        <v>21</v>
      </c>
      <c r="H14" s="8">
        <v>2117.1999999999998</v>
      </c>
      <c r="I14">
        <v>9</v>
      </c>
      <c r="J14" s="8">
        <v>191.3</v>
      </c>
      <c r="K14" t="str">
        <f>"Q"&amp;ROUNDUP(MONTH(Table13[[#This Row],[Date]])/3,0)</f>
        <v>Q4</v>
      </c>
    </row>
    <row r="15" spans="1:11" x14ac:dyDescent="0.35">
      <c r="A15" s="4" t="s">
        <v>33</v>
      </c>
      <c r="B15" s="6">
        <v>44959</v>
      </c>
      <c r="C15" s="6" t="str">
        <f>TEXT(Table13[[#This Row],[Date]],"MMM")</f>
        <v>Feb</v>
      </c>
      <c r="D15" s="6" t="str">
        <f>TEXT(Table13[[#This Row],[Date]],"YYYY")</f>
        <v>2023</v>
      </c>
      <c r="E15" s="4" t="s">
        <v>13</v>
      </c>
      <c r="F15" s="4" t="s">
        <v>10</v>
      </c>
      <c r="G15" s="4" t="s">
        <v>19</v>
      </c>
      <c r="H15" s="8">
        <v>2250.09</v>
      </c>
      <c r="I15">
        <v>6</v>
      </c>
      <c r="J15" s="8">
        <v>332.91</v>
      </c>
      <c r="K15" t="str">
        <f>"Q"&amp;ROUNDUP(MONTH(Table13[[#This Row],[Date]])/3,0)</f>
        <v>Q1</v>
      </c>
    </row>
    <row r="16" spans="1:11" x14ac:dyDescent="0.35">
      <c r="A16" s="4" t="s">
        <v>34</v>
      </c>
      <c r="B16" s="6">
        <v>45144</v>
      </c>
      <c r="C16" s="6" t="str">
        <f>TEXT(Table13[[#This Row],[Date]],"MMM")</f>
        <v>Aug</v>
      </c>
      <c r="D16" s="6" t="str">
        <f>TEXT(Table13[[#This Row],[Date]],"YYYY")</f>
        <v>2023</v>
      </c>
      <c r="E16" s="4" t="s">
        <v>25</v>
      </c>
      <c r="F16" s="4" t="s">
        <v>16</v>
      </c>
      <c r="G16" s="4" t="s">
        <v>26</v>
      </c>
      <c r="H16" s="8">
        <v>3853.23</v>
      </c>
      <c r="I16">
        <v>8</v>
      </c>
      <c r="J16" s="8">
        <v>328.59</v>
      </c>
      <c r="K16" t="str">
        <f>"Q"&amp;ROUNDUP(MONTH(Table13[[#This Row],[Date]])/3,0)</f>
        <v>Q3</v>
      </c>
    </row>
    <row r="17" spans="1:11" x14ac:dyDescent="0.35">
      <c r="A17" s="4" t="s">
        <v>35</v>
      </c>
      <c r="B17" s="6">
        <v>45198</v>
      </c>
      <c r="C17" s="6" t="str">
        <f>TEXT(Table13[[#This Row],[Date]],"MMM")</f>
        <v>Sep</v>
      </c>
      <c r="D17" s="6" t="str">
        <f>TEXT(Table13[[#This Row],[Date]],"YYYY")</f>
        <v>2023</v>
      </c>
      <c r="E17" s="4" t="s">
        <v>18</v>
      </c>
      <c r="F17" s="4" t="s">
        <v>10</v>
      </c>
      <c r="G17" s="4" t="s">
        <v>19</v>
      </c>
      <c r="H17" s="8">
        <v>843.88</v>
      </c>
      <c r="I17">
        <v>3</v>
      </c>
      <c r="J17" s="8">
        <v>212.37</v>
      </c>
      <c r="K17" t="str">
        <f>"Q"&amp;ROUNDUP(MONTH(Table13[[#This Row],[Date]])/3,0)</f>
        <v>Q3</v>
      </c>
    </row>
    <row r="18" spans="1:11" x14ac:dyDescent="0.35">
      <c r="A18" s="4" t="s">
        <v>36</v>
      </c>
      <c r="B18" s="6">
        <v>45524</v>
      </c>
      <c r="C18" s="6" t="str">
        <f>TEXT(Table13[[#This Row],[Date]],"MMM")</f>
        <v>Aug</v>
      </c>
      <c r="D18" s="6" t="str">
        <f>TEXT(Table13[[#This Row],[Date]],"YYYY")</f>
        <v>2024</v>
      </c>
      <c r="E18" s="4" t="s">
        <v>23</v>
      </c>
      <c r="F18" s="4" t="s">
        <v>16</v>
      </c>
      <c r="G18" s="4" t="s">
        <v>21</v>
      </c>
      <c r="H18" s="8">
        <v>3172.52</v>
      </c>
      <c r="I18">
        <v>7</v>
      </c>
      <c r="J18" s="8">
        <v>302.36</v>
      </c>
      <c r="K18" t="str">
        <f>"Q"&amp;ROUNDUP(MONTH(Table13[[#This Row],[Date]])/3,0)</f>
        <v>Q3</v>
      </c>
    </row>
    <row r="19" spans="1:11" x14ac:dyDescent="0.35">
      <c r="A19" s="4" t="s">
        <v>37</v>
      </c>
      <c r="B19" s="6">
        <v>45020</v>
      </c>
      <c r="C19" s="6" t="str">
        <f>TEXT(Table13[[#This Row],[Date]],"MMM")</f>
        <v>Apr</v>
      </c>
      <c r="D19" s="6" t="str">
        <f>TEXT(Table13[[#This Row],[Date]],"YYYY")</f>
        <v>2023</v>
      </c>
      <c r="E19" s="4" t="s">
        <v>15</v>
      </c>
      <c r="F19" s="4" t="s">
        <v>16</v>
      </c>
      <c r="G19" s="4" t="s">
        <v>21</v>
      </c>
      <c r="H19" s="8">
        <v>803.11</v>
      </c>
      <c r="I19">
        <v>1</v>
      </c>
      <c r="J19" s="8">
        <v>691.66</v>
      </c>
      <c r="K19" t="str">
        <f>"Q"&amp;ROUNDUP(MONTH(Table13[[#This Row],[Date]])/3,0)</f>
        <v>Q2</v>
      </c>
    </row>
    <row r="20" spans="1:11" x14ac:dyDescent="0.35">
      <c r="A20" s="4" t="s">
        <v>38</v>
      </c>
      <c r="B20" s="6">
        <v>45537</v>
      </c>
      <c r="C20" s="6" t="str">
        <f>TEXT(Table13[[#This Row],[Date]],"MMM")</f>
        <v>Sep</v>
      </c>
      <c r="D20" s="6" t="str">
        <f>TEXT(Table13[[#This Row],[Date]],"YYYY")</f>
        <v>2024</v>
      </c>
      <c r="E20" s="4" t="s">
        <v>15</v>
      </c>
      <c r="F20" s="4" t="s">
        <v>16</v>
      </c>
      <c r="G20" s="4" t="s">
        <v>21</v>
      </c>
      <c r="H20" s="8">
        <v>856.87</v>
      </c>
      <c r="I20">
        <v>2</v>
      </c>
      <c r="J20" s="8">
        <v>320.12</v>
      </c>
      <c r="K20" t="str">
        <f>"Q"&amp;ROUNDUP(MONTH(Table13[[#This Row],[Date]])/3,0)</f>
        <v>Q3</v>
      </c>
    </row>
    <row r="21" spans="1:11" x14ac:dyDescent="0.35">
      <c r="A21" s="4" t="s">
        <v>39</v>
      </c>
      <c r="B21" s="6">
        <v>45493</v>
      </c>
      <c r="C21" s="6" t="str">
        <f>TEXT(Table13[[#This Row],[Date]],"MMM")</f>
        <v>Jul</v>
      </c>
      <c r="D21" s="6" t="str">
        <f>TEXT(Table13[[#This Row],[Date]],"YYYY")</f>
        <v>2024</v>
      </c>
      <c r="E21" s="4" t="s">
        <v>18</v>
      </c>
      <c r="F21" s="4" t="s">
        <v>10</v>
      </c>
      <c r="G21" s="4" t="s">
        <v>26</v>
      </c>
      <c r="H21" s="8">
        <v>630.91</v>
      </c>
      <c r="I21">
        <v>1</v>
      </c>
      <c r="J21" s="8">
        <v>550.62</v>
      </c>
      <c r="K21" t="str">
        <f>"Q"&amp;ROUNDUP(MONTH(Table13[[#This Row],[Date]])/3,0)</f>
        <v>Q3</v>
      </c>
    </row>
    <row r="22" spans="1:11" x14ac:dyDescent="0.35">
      <c r="A22" s="4" t="s">
        <v>40</v>
      </c>
      <c r="B22" s="6">
        <v>45583</v>
      </c>
      <c r="C22" s="6" t="str">
        <f>TEXT(Table13[[#This Row],[Date]],"MMM")</f>
        <v>Oct</v>
      </c>
      <c r="D22" s="6" t="str">
        <f>TEXT(Table13[[#This Row],[Date]],"YYYY")</f>
        <v>2024</v>
      </c>
      <c r="E22" s="4" t="s">
        <v>25</v>
      </c>
      <c r="F22" s="4" t="s">
        <v>16</v>
      </c>
      <c r="G22" s="4" t="s">
        <v>26</v>
      </c>
      <c r="H22" s="8">
        <v>817.92</v>
      </c>
      <c r="I22">
        <v>6</v>
      </c>
      <c r="J22" s="8">
        <v>107.01</v>
      </c>
      <c r="K22" t="str">
        <f>"Q"&amp;ROUNDUP(MONTH(Table13[[#This Row],[Date]])/3,0)</f>
        <v>Q4</v>
      </c>
    </row>
    <row r="23" spans="1:11" x14ac:dyDescent="0.35">
      <c r="A23" s="4" t="s">
        <v>41</v>
      </c>
      <c r="B23" s="6">
        <v>45196</v>
      </c>
      <c r="C23" s="6" t="str">
        <f>TEXT(Table13[[#This Row],[Date]],"MMM")</f>
        <v>Sep</v>
      </c>
      <c r="D23" s="6" t="str">
        <f>TEXT(Table13[[#This Row],[Date]],"YYYY")</f>
        <v>2023</v>
      </c>
      <c r="E23" s="4" t="s">
        <v>18</v>
      </c>
      <c r="F23" s="4" t="s">
        <v>10</v>
      </c>
      <c r="G23" s="4" t="s">
        <v>11</v>
      </c>
      <c r="H23" s="8">
        <v>7204.65</v>
      </c>
      <c r="I23">
        <v>9</v>
      </c>
      <c r="J23" s="8">
        <v>614.33000000000004</v>
      </c>
      <c r="K23" t="str">
        <f>"Q"&amp;ROUNDUP(MONTH(Table13[[#This Row],[Date]])/3,0)</f>
        <v>Q3</v>
      </c>
    </row>
    <row r="24" spans="1:11" x14ac:dyDescent="0.35">
      <c r="A24" s="4" t="s">
        <v>42</v>
      </c>
      <c r="B24" s="6">
        <v>45581</v>
      </c>
      <c r="C24" s="6" t="str">
        <f>TEXT(Table13[[#This Row],[Date]],"MMM")</f>
        <v>Oct</v>
      </c>
      <c r="D24" s="6" t="str">
        <f>TEXT(Table13[[#This Row],[Date]],"YYYY")</f>
        <v>2024</v>
      </c>
      <c r="E24" s="4" t="s">
        <v>13</v>
      </c>
      <c r="F24" s="4" t="s">
        <v>10</v>
      </c>
      <c r="G24" s="4" t="s">
        <v>26</v>
      </c>
      <c r="H24" s="8">
        <v>5172.8599999999997</v>
      </c>
      <c r="I24">
        <v>9</v>
      </c>
      <c r="J24" s="8">
        <v>495</v>
      </c>
      <c r="K24" t="str">
        <f>"Q"&amp;ROUNDUP(MONTH(Table13[[#This Row],[Date]])/3,0)</f>
        <v>Q4</v>
      </c>
    </row>
    <row r="25" spans="1:11" x14ac:dyDescent="0.35">
      <c r="A25" s="4" t="s">
        <v>43</v>
      </c>
      <c r="B25" s="6">
        <v>45540</v>
      </c>
      <c r="C25" s="6" t="str">
        <f>TEXT(Table13[[#This Row],[Date]],"MMM")</f>
        <v>Sep</v>
      </c>
      <c r="D25" s="6" t="str">
        <f>TEXT(Table13[[#This Row],[Date]],"YYYY")</f>
        <v>2024</v>
      </c>
      <c r="E25" s="4" t="s">
        <v>15</v>
      </c>
      <c r="F25" s="4" t="s">
        <v>16</v>
      </c>
      <c r="G25" s="4" t="s">
        <v>11</v>
      </c>
      <c r="H25" s="8">
        <v>2755.02</v>
      </c>
      <c r="I25">
        <v>6</v>
      </c>
      <c r="J25" s="8">
        <v>401.11</v>
      </c>
      <c r="K25" t="str">
        <f>"Q"&amp;ROUNDUP(MONTH(Table13[[#This Row],[Date]])/3,0)</f>
        <v>Q3</v>
      </c>
    </row>
    <row r="26" spans="1:11" x14ac:dyDescent="0.35">
      <c r="A26" s="4" t="s">
        <v>44</v>
      </c>
      <c r="B26" s="6">
        <v>45172</v>
      </c>
      <c r="C26" s="6" t="str">
        <f>TEXT(Table13[[#This Row],[Date]],"MMM")</f>
        <v>Sep</v>
      </c>
      <c r="D26" s="6" t="str">
        <f>TEXT(Table13[[#This Row],[Date]],"YYYY")</f>
        <v>2023</v>
      </c>
      <c r="E26" s="4" t="s">
        <v>23</v>
      </c>
      <c r="F26" s="4" t="s">
        <v>16</v>
      </c>
      <c r="G26" s="4" t="s">
        <v>26</v>
      </c>
      <c r="H26" s="8">
        <v>275.83999999999997</v>
      </c>
      <c r="I26">
        <v>1</v>
      </c>
      <c r="J26" s="8">
        <v>207.88</v>
      </c>
      <c r="K26" t="str">
        <f>"Q"&amp;ROUNDUP(MONTH(Table13[[#This Row],[Date]])/3,0)</f>
        <v>Q3</v>
      </c>
    </row>
    <row r="27" spans="1:11" x14ac:dyDescent="0.35">
      <c r="A27" s="4" t="s">
        <v>45</v>
      </c>
      <c r="B27" s="6">
        <v>45424</v>
      </c>
      <c r="C27" s="6" t="str">
        <f>TEXT(Table13[[#This Row],[Date]],"MMM")</f>
        <v>May</v>
      </c>
      <c r="D27" s="6" t="str">
        <f>TEXT(Table13[[#This Row],[Date]],"YYYY")</f>
        <v>2024</v>
      </c>
      <c r="E27" s="4" t="s">
        <v>13</v>
      </c>
      <c r="F27" s="4" t="s">
        <v>10</v>
      </c>
      <c r="G27" s="4" t="s">
        <v>11</v>
      </c>
      <c r="H27" s="8">
        <v>2055.84</v>
      </c>
      <c r="I27">
        <v>2</v>
      </c>
      <c r="J27" s="8">
        <v>782.83</v>
      </c>
      <c r="K27" t="str">
        <f>"Q"&amp;ROUNDUP(MONTH(Table13[[#This Row],[Date]])/3,0)</f>
        <v>Q2</v>
      </c>
    </row>
    <row r="28" spans="1:11" x14ac:dyDescent="0.35">
      <c r="A28" s="4" t="s">
        <v>46</v>
      </c>
      <c r="B28" s="6">
        <v>45602</v>
      </c>
      <c r="C28" s="6" t="str">
        <f>TEXT(Table13[[#This Row],[Date]],"MMM")</f>
        <v>Nov</v>
      </c>
      <c r="D28" s="6" t="str">
        <f>TEXT(Table13[[#This Row],[Date]],"YYYY")</f>
        <v>2024</v>
      </c>
      <c r="E28" s="4" t="s">
        <v>15</v>
      </c>
      <c r="F28" s="4" t="s">
        <v>16</v>
      </c>
      <c r="G28" s="4" t="s">
        <v>19</v>
      </c>
      <c r="H28" s="8">
        <v>7075.97</v>
      </c>
      <c r="I28">
        <v>8</v>
      </c>
      <c r="J28" s="8">
        <v>758.54</v>
      </c>
      <c r="K28" t="str">
        <f>"Q"&amp;ROUNDUP(MONTH(Table13[[#This Row],[Date]])/3,0)</f>
        <v>Q4</v>
      </c>
    </row>
    <row r="29" spans="1:11" x14ac:dyDescent="0.35">
      <c r="A29" s="4" t="s">
        <v>47</v>
      </c>
      <c r="B29" s="6">
        <v>45143</v>
      </c>
      <c r="C29" s="6" t="str">
        <f>TEXT(Table13[[#This Row],[Date]],"MMM")</f>
        <v>Aug</v>
      </c>
      <c r="D29" s="6" t="str">
        <f>TEXT(Table13[[#This Row],[Date]],"YYYY")</f>
        <v>2023</v>
      </c>
      <c r="E29" s="4" t="s">
        <v>25</v>
      </c>
      <c r="F29" s="4" t="s">
        <v>16</v>
      </c>
      <c r="G29" s="4" t="s">
        <v>21</v>
      </c>
      <c r="H29" s="8">
        <v>7542.93</v>
      </c>
      <c r="I29">
        <v>9</v>
      </c>
      <c r="J29" s="8">
        <v>609.11</v>
      </c>
      <c r="K29" t="str">
        <f>"Q"&amp;ROUNDUP(MONTH(Table13[[#This Row],[Date]])/3,0)</f>
        <v>Q3</v>
      </c>
    </row>
    <row r="30" spans="1:11" x14ac:dyDescent="0.35">
      <c r="A30" s="4" t="s">
        <v>48</v>
      </c>
      <c r="B30" s="6">
        <v>45335</v>
      </c>
      <c r="C30" s="6" t="str">
        <f>TEXT(Table13[[#This Row],[Date]],"MMM")</f>
        <v>Feb</v>
      </c>
      <c r="D30" s="6" t="str">
        <f>TEXT(Table13[[#This Row],[Date]],"YYYY")</f>
        <v>2024</v>
      </c>
      <c r="E30" s="4" t="s">
        <v>9</v>
      </c>
      <c r="F30" s="4" t="s">
        <v>10</v>
      </c>
      <c r="G30" s="4" t="s">
        <v>26</v>
      </c>
      <c r="H30" s="8">
        <v>2836.67</v>
      </c>
      <c r="I30">
        <v>6</v>
      </c>
      <c r="J30" s="8">
        <v>361.72</v>
      </c>
      <c r="K30" t="str">
        <f>"Q"&amp;ROUNDUP(MONTH(Table13[[#This Row],[Date]])/3,0)</f>
        <v>Q1</v>
      </c>
    </row>
    <row r="31" spans="1:11" x14ac:dyDescent="0.35">
      <c r="A31" s="4" t="s">
        <v>49</v>
      </c>
      <c r="B31" s="6">
        <v>45157</v>
      </c>
      <c r="C31" s="6" t="str">
        <f>TEXT(Table13[[#This Row],[Date]],"MMM")</f>
        <v>Aug</v>
      </c>
      <c r="D31" s="6" t="str">
        <f>TEXT(Table13[[#This Row],[Date]],"YYYY")</f>
        <v>2023</v>
      </c>
      <c r="E31" s="4" t="s">
        <v>13</v>
      </c>
      <c r="F31" s="4" t="s">
        <v>10</v>
      </c>
      <c r="G31" s="4" t="s">
        <v>19</v>
      </c>
      <c r="H31" s="8">
        <v>757.69</v>
      </c>
      <c r="I31">
        <v>2</v>
      </c>
      <c r="J31" s="8">
        <v>283.70999999999998</v>
      </c>
      <c r="K31" t="str">
        <f>"Q"&amp;ROUNDUP(MONTH(Table13[[#This Row],[Date]])/3,0)</f>
        <v>Q3</v>
      </c>
    </row>
    <row r="32" spans="1:11" x14ac:dyDescent="0.35">
      <c r="A32" s="4" t="s">
        <v>50</v>
      </c>
      <c r="B32" s="6">
        <v>44934</v>
      </c>
      <c r="C32" s="6" t="str">
        <f>TEXT(Table13[[#This Row],[Date]],"MMM")</f>
        <v>Jan</v>
      </c>
      <c r="D32" s="6" t="str">
        <f>TEXT(Table13[[#This Row],[Date]],"YYYY")</f>
        <v>2023</v>
      </c>
      <c r="E32" s="4" t="s">
        <v>15</v>
      </c>
      <c r="F32" s="4" t="s">
        <v>16</v>
      </c>
      <c r="G32" s="4" t="s">
        <v>19</v>
      </c>
      <c r="H32" s="8">
        <v>1285.6099999999999</v>
      </c>
      <c r="I32">
        <v>2</v>
      </c>
      <c r="J32" s="8">
        <v>572.12</v>
      </c>
      <c r="K32" t="str">
        <f>"Q"&amp;ROUNDUP(MONTH(Table13[[#This Row],[Date]])/3,0)</f>
        <v>Q1</v>
      </c>
    </row>
    <row r="33" spans="1:11" x14ac:dyDescent="0.35">
      <c r="A33" s="4" t="s">
        <v>51</v>
      </c>
      <c r="B33" s="6">
        <v>45265</v>
      </c>
      <c r="C33" s="6" t="str">
        <f>TEXT(Table13[[#This Row],[Date]],"MMM")</f>
        <v>Dec</v>
      </c>
      <c r="D33" s="6" t="str">
        <f>TEXT(Table13[[#This Row],[Date]],"YYYY")</f>
        <v>2023</v>
      </c>
      <c r="E33" s="4" t="s">
        <v>13</v>
      </c>
      <c r="F33" s="4" t="s">
        <v>10</v>
      </c>
      <c r="G33" s="4" t="s">
        <v>11</v>
      </c>
      <c r="H33" s="8">
        <v>1020.09</v>
      </c>
      <c r="I33">
        <v>2</v>
      </c>
      <c r="J33" s="8">
        <v>421.04</v>
      </c>
      <c r="K33" t="str">
        <f>"Q"&amp;ROUNDUP(MONTH(Table13[[#This Row],[Date]])/3,0)</f>
        <v>Q4</v>
      </c>
    </row>
    <row r="34" spans="1:11" x14ac:dyDescent="0.35">
      <c r="A34" s="4" t="s">
        <v>52</v>
      </c>
      <c r="B34" s="6">
        <v>45479</v>
      </c>
      <c r="C34" s="6" t="str">
        <f>TEXT(Table13[[#This Row],[Date]],"MMM")</f>
        <v>Jul</v>
      </c>
      <c r="D34" s="6" t="str">
        <f>TEXT(Table13[[#This Row],[Date]],"YYYY")</f>
        <v>2024</v>
      </c>
      <c r="E34" s="4" t="s">
        <v>18</v>
      </c>
      <c r="F34" s="4" t="s">
        <v>10</v>
      </c>
      <c r="G34" s="4" t="s">
        <v>19</v>
      </c>
      <c r="H34" s="8">
        <v>2546.5300000000002</v>
      </c>
      <c r="I34">
        <v>3</v>
      </c>
      <c r="J34" s="8">
        <v>584.22</v>
      </c>
      <c r="K34" t="str">
        <f>"Q"&amp;ROUNDUP(MONTH(Table13[[#This Row],[Date]])/3,0)</f>
        <v>Q3</v>
      </c>
    </row>
    <row r="35" spans="1:11" x14ac:dyDescent="0.35">
      <c r="A35" s="4" t="s">
        <v>53</v>
      </c>
      <c r="B35" s="6">
        <v>45175</v>
      </c>
      <c r="C35" s="6" t="str">
        <f>TEXT(Table13[[#This Row],[Date]],"MMM")</f>
        <v>Sep</v>
      </c>
      <c r="D35" s="6" t="str">
        <f>TEXT(Table13[[#This Row],[Date]],"YYYY")</f>
        <v>2023</v>
      </c>
      <c r="E35" s="4" t="s">
        <v>25</v>
      </c>
      <c r="F35" s="4" t="s">
        <v>16</v>
      </c>
      <c r="G35" s="4" t="s">
        <v>21</v>
      </c>
      <c r="H35" s="8">
        <v>6114.64</v>
      </c>
      <c r="I35">
        <v>8</v>
      </c>
      <c r="J35" s="8">
        <v>649.85</v>
      </c>
      <c r="K35" t="str">
        <f>"Q"&amp;ROUNDUP(MONTH(Table13[[#This Row],[Date]])/3,0)</f>
        <v>Q3</v>
      </c>
    </row>
    <row r="36" spans="1:11" x14ac:dyDescent="0.35">
      <c r="A36" s="4" t="s">
        <v>54</v>
      </c>
      <c r="B36" s="6">
        <v>45289</v>
      </c>
      <c r="C36" s="6" t="str">
        <f>TEXT(Table13[[#This Row],[Date]],"MMM")</f>
        <v>Dec</v>
      </c>
      <c r="D36" s="6" t="str">
        <f>TEXT(Table13[[#This Row],[Date]],"YYYY")</f>
        <v>2023</v>
      </c>
      <c r="E36" s="4" t="s">
        <v>13</v>
      </c>
      <c r="F36" s="4" t="s">
        <v>10</v>
      </c>
      <c r="G36" s="4" t="s">
        <v>21</v>
      </c>
      <c r="H36" s="8">
        <v>3447.05</v>
      </c>
      <c r="I36">
        <v>7</v>
      </c>
      <c r="J36" s="8">
        <v>340.66</v>
      </c>
      <c r="K36" t="str">
        <f>"Q"&amp;ROUNDUP(MONTH(Table13[[#This Row],[Date]])/3,0)</f>
        <v>Q4</v>
      </c>
    </row>
    <row r="37" spans="1:11" x14ac:dyDescent="0.35">
      <c r="A37" s="4" t="s">
        <v>55</v>
      </c>
      <c r="B37" s="6">
        <v>44989</v>
      </c>
      <c r="C37" s="6" t="str">
        <f>TEXT(Table13[[#This Row],[Date]],"MMM")</f>
        <v>Mar</v>
      </c>
      <c r="D37" s="6" t="str">
        <f>TEXT(Table13[[#This Row],[Date]],"YYYY")</f>
        <v>2023</v>
      </c>
      <c r="E37" s="4" t="s">
        <v>13</v>
      </c>
      <c r="F37" s="4" t="s">
        <v>10</v>
      </c>
      <c r="G37" s="4" t="s">
        <v>11</v>
      </c>
      <c r="H37" s="8">
        <v>5845.79</v>
      </c>
      <c r="I37">
        <v>7</v>
      </c>
      <c r="J37" s="8">
        <v>588.01</v>
      </c>
      <c r="K37" t="str">
        <f>"Q"&amp;ROUNDUP(MONTH(Table13[[#This Row],[Date]])/3,0)</f>
        <v>Q1</v>
      </c>
    </row>
    <row r="38" spans="1:11" x14ac:dyDescent="0.35">
      <c r="A38" s="4" t="s">
        <v>56</v>
      </c>
      <c r="B38" s="6">
        <v>45123</v>
      </c>
      <c r="C38" s="6" t="str">
        <f>TEXT(Table13[[#This Row],[Date]],"MMM")</f>
        <v>Jul</v>
      </c>
      <c r="D38" s="6" t="str">
        <f>TEXT(Table13[[#This Row],[Date]],"YYYY")</f>
        <v>2023</v>
      </c>
      <c r="E38" s="4" t="s">
        <v>13</v>
      </c>
      <c r="F38" s="4" t="s">
        <v>10</v>
      </c>
      <c r="G38" s="4" t="s">
        <v>19</v>
      </c>
      <c r="H38" s="8">
        <v>2026.83</v>
      </c>
      <c r="I38">
        <v>4</v>
      </c>
      <c r="J38" s="8">
        <v>438.3</v>
      </c>
      <c r="K38" t="str">
        <f>"Q"&amp;ROUNDUP(MONTH(Table13[[#This Row],[Date]])/3,0)</f>
        <v>Q3</v>
      </c>
    </row>
    <row r="39" spans="1:11" x14ac:dyDescent="0.35">
      <c r="A39" s="4" t="s">
        <v>57</v>
      </c>
      <c r="B39" s="6">
        <v>45400</v>
      </c>
      <c r="C39" s="6" t="str">
        <f>TEXT(Table13[[#This Row],[Date]],"MMM")</f>
        <v>Apr</v>
      </c>
      <c r="D39" s="6" t="str">
        <f>TEXT(Table13[[#This Row],[Date]],"YYYY")</f>
        <v>2024</v>
      </c>
      <c r="E39" s="4" t="s">
        <v>15</v>
      </c>
      <c r="F39" s="4" t="s">
        <v>16</v>
      </c>
      <c r="G39" s="4" t="s">
        <v>26</v>
      </c>
      <c r="H39" s="8">
        <v>3173.92</v>
      </c>
      <c r="I39">
        <v>4</v>
      </c>
      <c r="J39" s="8">
        <v>702.1</v>
      </c>
      <c r="K39" t="str">
        <f>"Q"&amp;ROUNDUP(MONTH(Table13[[#This Row],[Date]])/3,0)</f>
        <v>Q2</v>
      </c>
    </row>
    <row r="40" spans="1:11" x14ac:dyDescent="0.35">
      <c r="A40" s="4" t="s">
        <v>58</v>
      </c>
      <c r="B40" s="6">
        <v>44978</v>
      </c>
      <c r="C40" s="6" t="str">
        <f>TEXT(Table13[[#This Row],[Date]],"MMM")</f>
        <v>Feb</v>
      </c>
      <c r="D40" s="6" t="str">
        <f>TEXT(Table13[[#This Row],[Date]],"YYYY")</f>
        <v>2023</v>
      </c>
      <c r="E40" s="4" t="s">
        <v>25</v>
      </c>
      <c r="F40" s="4" t="s">
        <v>16</v>
      </c>
      <c r="G40" s="4" t="s">
        <v>11</v>
      </c>
      <c r="H40" s="8">
        <v>8998.33</v>
      </c>
      <c r="I40">
        <v>9</v>
      </c>
      <c r="J40" s="8">
        <v>672.1</v>
      </c>
      <c r="K40" t="str">
        <f>"Q"&amp;ROUNDUP(MONTH(Table13[[#This Row],[Date]])/3,0)</f>
        <v>Q1</v>
      </c>
    </row>
    <row r="41" spans="1:11" x14ac:dyDescent="0.35">
      <c r="A41" s="4" t="s">
        <v>59</v>
      </c>
      <c r="B41" s="6">
        <v>45343</v>
      </c>
      <c r="C41" s="6" t="str">
        <f>TEXT(Table13[[#This Row],[Date]],"MMM")</f>
        <v>Feb</v>
      </c>
      <c r="D41" s="6" t="str">
        <f>TEXT(Table13[[#This Row],[Date]],"YYYY")</f>
        <v>2024</v>
      </c>
      <c r="E41" s="4" t="s">
        <v>15</v>
      </c>
      <c r="F41" s="4" t="s">
        <v>16</v>
      </c>
      <c r="G41" s="4" t="s">
        <v>19</v>
      </c>
      <c r="H41" s="8">
        <v>4574.24</v>
      </c>
      <c r="I41">
        <v>8</v>
      </c>
      <c r="J41" s="8">
        <v>395.46</v>
      </c>
      <c r="K41" t="str">
        <f>"Q"&amp;ROUNDUP(MONTH(Table13[[#This Row],[Date]])/3,0)</f>
        <v>Q1</v>
      </c>
    </row>
    <row r="42" spans="1:11" x14ac:dyDescent="0.35">
      <c r="A42" s="4" t="s">
        <v>60</v>
      </c>
      <c r="B42" s="6">
        <v>45315</v>
      </c>
      <c r="C42" s="6" t="str">
        <f>TEXT(Table13[[#This Row],[Date]],"MMM")</f>
        <v>Jan</v>
      </c>
      <c r="D42" s="6" t="str">
        <f>TEXT(Table13[[#This Row],[Date]],"YYYY")</f>
        <v>2024</v>
      </c>
      <c r="E42" s="4" t="s">
        <v>13</v>
      </c>
      <c r="F42" s="4" t="s">
        <v>10</v>
      </c>
      <c r="G42" s="4" t="s">
        <v>19</v>
      </c>
      <c r="H42" s="8">
        <v>951.04</v>
      </c>
      <c r="I42">
        <v>1</v>
      </c>
      <c r="J42" s="8">
        <v>788.54</v>
      </c>
      <c r="K42" t="str">
        <f>"Q"&amp;ROUNDUP(MONTH(Table13[[#This Row],[Date]])/3,0)</f>
        <v>Q1</v>
      </c>
    </row>
    <row r="43" spans="1:11" x14ac:dyDescent="0.35">
      <c r="A43" s="4" t="s">
        <v>61</v>
      </c>
      <c r="B43" s="6">
        <v>45360</v>
      </c>
      <c r="C43" s="6" t="str">
        <f>TEXT(Table13[[#This Row],[Date]],"MMM")</f>
        <v>Mar</v>
      </c>
      <c r="D43" s="6" t="str">
        <f>TEXT(Table13[[#This Row],[Date]],"YYYY")</f>
        <v>2024</v>
      </c>
      <c r="E43" s="4" t="s">
        <v>18</v>
      </c>
      <c r="F43" s="4" t="s">
        <v>10</v>
      </c>
      <c r="G43" s="4" t="s">
        <v>26</v>
      </c>
      <c r="H43" s="8">
        <v>6248.51</v>
      </c>
      <c r="I43">
        <v>9</v>
      </c>
      <c r="J43" s="8">
        <v>536.26</v>
      </c>
      <c r="K43" t="str">
        <f>"Q"&amp;ROUNDUP(MONTH(Table13[[#This Row],[Date]])/3,0)</f>
        <v>Q1</v>
      </c>
    </row>
    <row r="44" spans="1:11" x14ac:dyDescent="0.35">
      <c r="A44" s="4" t="s">
        <v>62</v>
      </c>
      <c r="B44" s="6">
        <v>45149</v>
      </c>
      <c r="C44" s="6" t="str">
        <f>TEXT(Table13[[#This Row],[Date]],"MMM")</f>
        <v>Aug</v>
      </c>
      <c r="D44" s="6" t="str">
        <f>TEXT(Table13[[#This Row],[Date]],"YYYY")</f>
        <v>2023</v>
      </c>
      <c r="E44" s="4" t="s">
        <v>15</v>
      </c>
      <c r="F44" s="4" t="s">
        <v>16</v>
      </c>
      <c r="G44" s="4" t="s">
        <v>26</v>
      </c>
      <c r="H44" s="8">
        <v>621.25</v>
      </c>
      <c r="I44">
        <v>1</v>
      </c>
      <c r="J44" s="8">
        <v>471.76</v>
      </c>
      <c r="K44" t="str">
        <f>"Q"&amp;ROUNDUP(MONTH(Table13[[#This Row],[Date]])/3,0)</f>
        <v>Q3</v>
      </c>
    </row>
    <row r="45" spans="1:11" x14ac:dyDescent="0.35">
      <c r="A45" s="4" t="s">
        <v>63</v>
      </c>
      <c r="B45" s="6">
        <v>44985</v>
      </c>
      <c r="C45" s="6" t="str">
        <f>TEXT(Table13[[#This Row],[Date]],"MMM")</f>
        <v>Feb</v>
      </c>
      <c r="D45" s="6" t="str">
        <f>TEXT(Table13[[#This Row],[Date]],"YYYY")</f>
        <v>2023</v>
      </c>
      <c r="E45" s="4" t="s">
        <v>9</v>
      </c>
      <c r="F45" s="4" t="s">
        <v>10</v>
      </c>
      <c r="G45" s="4" t="s">
        <v>26</v>
      </c>
      <c r="H45" s="8">
        <v>618.9</v>
      </c>
      <c r="I45">
        <v>1</v>
      </c>
      <c r="J45" s="8">
        <v>475.66</v>
      </c>
      <c r="K45" t="str">
        <f>"Q"&amp;ROUNDUP(MONTH(Table13[[#This Row],[Date]])/3,0)</f>
        <v>Q1</v>
      </c>
    </row>
    <row r="46" spans="1:11" x14ac:dyDescent="0.35">
      <c r="A46" s="4" t="s">
        <v>64</v>
      </c>
      <c r="B46" s="6">
        <v>44985</v>
      </c>
      <c r="C46" s="6" t="str">
        <f>TEXT(Table13[[#This Row],[Date]],"MMM")</f>
        <v>Feb</v>
      </c>
      <c r="D46" s="6" t="str">
        <f>TEXT(Table13[[#This Row],[Date]],"YYYY")</f>
        <v>2023</v>
      </c>
      <c r="E46" s="4" t="s">
        <v>25</v>
      </c>
      <c r="F46" s="4" t="s">
        <v>16</v>
      </c>
      <c r="G46" s="4" t="s">
        <v>19</v>
      </c>
      <c r="H46" s="8">
        <v>871.83</v>
      </c>
      <c r="I46">
        <v>9</v>
      </c>
      <c r="J46" s="8">
        <v>82.49</v>
      </c>
      <c r="K46" t="str">
        <f>"Q"&amp;ROUNDUP(MONTH(Table13[[#This Row],[Date]])/3,0)</f>
        <v>Q1</v>
      </c>
    </row>
    <row r="47" spans="1:11" x14ac:dyDescent="0.35">
      <c r="A47" s="4" t="s">
        <v>65</v>
      </c>
      <c r="B47" s="6">
        <v>45618</v>
      </c>
      <c r="C47" s="6" t="str">
        <f>TEXT(Table13[[#This Row],[Date]],"MMM")</f>
        <v>Nov</v>
      </c>
      <c r="D47" s="6" t="str">
        <f>TEXT(Table13[[#This Row],[Date]],"YYYY")</f>
        <v>2024</v>
      </c>
      <c r="E47" s="4" t="s">
        <v>25</v>
      </c>
      <c r="F47" s="4" t="s">
        <v>16</v>
      </c>
      <c r="G47" s="4" t="s">
        <v>11</v>
      </c>
      <c r="H47" s="8">
        <v>1978.34</v>
      </c>
      <c r="I47">
        <v>4</v>
      </c>
      <c r="J47" s="8">
        <v>334.94</v>
      </c>
      <c r="K47" t="str">
        <f>"Q"&amp;ROUNDUP(MONTH(Table13[[#This Row],[Date]])/3,0)</f>
        <v>Q4</v>
      </c>
    </row>
    <row r="48" spans="1:11" x14ac:dyDescent="0.35">
      <c r="A48" s="4" t="s">
        <v>66</v>
      </c>
      <c r="B48" s="6">
        <v>45519</v>
      </c>
      <c r="C48" s="6" t="str">
        <f>TEXT(Table13[[#This Row],[Date]],"MMM")</f>
        <v>Aug</v>
      </c>
      <c r="D48" s="6" t="str">
        <f>TEXT(Table13[[#This Row],[Date]],"YYYY")</f>
        <v>2024</v>
      </c>
      <c r="E48" s="4" t="s">
        <v>25</v>
      </c>
      <c r="F48" s="4" t="s">
        <v>16</v>
      </c>
      <c r="G48" s="4" t="s">
        <v>19</v>
      </c>
      <c r="H48" s="8">
        <v>577.72</v>
      </c>
      <c r="I48">
        <v>10</v>
      </c>
      <c r="J48" s="8">
        <v>51</v>
      </c>
      <c r="K48" t="str">
        <f>"Q"&amp;ROUNDUP(MONTH(Table13[[#This Row],[Date]])/3,0)</f>
        <v>Q3</v>
      </c>
    </row>
    <row r="49" spans="1:11" x14ac:dyDescent="0.35">
      <c r="A49" s="4" t="s">
        <v>67</v>
      </c>
      <c r="B49" s="6">
        <v>45194</v>
      </c>
      <c r="C49" s="6" t="str">
        <f>TEXT(Table13[[#This Row],[Date]],"MMM")</f>
        <v>Sep</v>
      </c>
      <c r="D49" s="6" t="str">
        <f>TEXT(Table13[[#This Row],[Date]],"YYYY")</f>
        <v>2023</v>
      </c>
      <c r="E49" s="4" t="s">
        <v>9</v>
      </c>
      <c r="F49" s="4" t="s">
        <v>10</v>
      </c>
      <c r="G49" s="4" t="s">
        <v>26</v>
      </c>
      <c r="H49" s="8">
        <v>2659.17</v>
      </c>
      <c r="I49">
        <v>4</v>
      </c>
      <c r="J49" s="8">
        <v>542.39</v>
      </c>
      <c r="K49" t="str">
        <f>"Q"&amp;ROUNDUP(MONTH(Table13[[#This Row],[Date]])/3,0)</f>
        <v>Q3</v>
      </c>
    </row>
    <row r="50" spans="1:11" x14ac:dyDescent="0.35">
      <c r="A50" s="4" t="s">
        <v>68</v>
      </c>
      <c r="B50" s="6">
        <v>45061</v>
      </c>
      <c r="C50" s="6" t="str">
        <f>TEXT(Table13[[#This Row],[Date]],"MMM")</f>
        <v>May</v>
      </c>
      <c r="D50" s="6" t="str">
        <f>TEXT(Table13[[#This Row],[Date]],"YYYY")</f>
        <v>2023</v>
      </c>
      <c r="E50" s="4" t="s">
        <v>23</v>
      </c>
      <c r="F50" s="4" t="s">
        <v>16</v>
      </c>
      <c r="G50" s="4" t="s">
        <v>21</v>
      </c>
      <c r="H50" s="8">
        <v>2771.33</v>
      </c>
      <c r="I50">
        <v>5</v>
      </c>
      <c r="J50" s="8">
        <v>376.64</v>
      </c>
      <c r="K50" t="str">
        <f>"Q"&amp;ROUNDUP(MONTH(Table13[[#This Row],[Date]])/3,0)</f>
        <v>Q2</v>
      </c>
    </row>
    <row r="51" spans="1:11" x14ac:dyDescent="0.35">
      <c r="A51" s="4" t="s">
        <v>69</v>
      </c>
      <c r="B51" s="6">
        <v>45396</v>
      </c>
      <c r="C51" s="6" t="str">
        <f>TEXT(Table13[[#This Row],[Date]],"MMM")</f>
        <v>Apr</v>
      </c>
      <c r="D51" s="6" t="str">
        <f>TEXT(Table13[[#This Row],[Date]],"YYYY")</f>
        <v>2024</v>
      </c>
      <c r="E51" s="4" t="s">
        <v>13</v>
      </c>
      <c r="F51" s="4" t="s">
        <v>10</v>
      </c>
      <c r="G51" s="4" t="s">
        <v>11</v>
      </c>
      <c r="H51" s="8">
        <v>11969.38</v>
      </c>
      <c r="I51">
        <v>10</v>
      </c>
      <c r="J51" s="8">
        <v>798.79</v>
      </c>
      <c r="K51" t="str">
        <f>"Q"&amp;ROUNDUP(MONTH(Table13[[#This Row],[Date]])/3,0)</f>
        <v>Q2</v>
      </c>
    </row>
    <row r="52" spans="1:11" x14ac:dyDescent="0.35">
      <c r="A52" s="4" t="s">
        <v>70</v>
      </c>
      <c r="B52" s="6">
        <v>45445</v>
      </c>
      <c r="C52" s="6" t="str">
        <f>TEXT(Table13[[#This Row],[Date]],"MMM")</f>
        <v>Jun</v>
      </c>
      <c r="D52" s="6" t="str">
        <f>TEXT(Table13[[#This Row],[Date]],"YYYY")</f>
        <v>2024</v>
      </c>
      <c r="E52" s="4" t="s">
        <v>13</v>
      </c>
      <c r="F52" s="4" t="s">
        <v>10</v>
      </c>
      <c r="G52" s="4" t="s">
        <v>19</v>
      </c>
      <c r="H52" s="8">
        <v>764.34</v>
      </c>
      <c r="I52">
        <v>5</v>
      </c>
      <c r="J52" s="8">
        <v>123.32</v>
      </c>
      <c r="K52" t="str">
        <f>"Q"&amp;ROUNDUP(MONTH(Table13[[#This Row],[Date]])/3,0)</f>
        <v>Q2</v>
      </c>
    </row>
    <row r="53" spans="1:11" x14ac:dyDescent="0.35">
      <c r="A53" s="4" t="s">
        <v>71</v>
      </c>
      <c r="B53" s="6">
        <v>45305</v>
      </c>
      <c r="C53" s="6" t="str">
        <f>TEXT(Table13[[#This Row],[Date]],"MMM")</f>
        <v>Jan</v>
      </c>
      <c r="D53" s="6" t="str">
        <f>TEXT(Table13[[#This Row],[Date]],"YYYY")</f>
        <v>2024</v>
      </c>
      <c r="E53" s="4" t="s">
        <v>13</v>
      </c>
      <c r="F53" s="4" t="s">
        <v>10</v>
      </c>
      <c r="G53" s="4" t="s">
        <v>19</v>
      </c>
      <c r="H53" s="8">
        <v>1025.24</v>
      </c>
      <c r="I53">
        <v>5</v>
      </c>
      <c r="J53" s="8">
        <v>143.04</v>
      </c>
      <c r="K53" t="str">
        <f>"Q"&amp;ROUNDUP(MONTH(Table13[[#This Row],[Date]])/3,0)</f>
        <v>Q1</v>
      </c>
    </row>
    <row r="54" spans="1:11" x14ac:dyDescent="0.35">
      <c r="A54" s="4" t="s">
        <v>72</v>
      </c>
      <c r="B54" s="6">
        <v>45553</v>
      </c>
      <c r="C54" s="6" t="str">
        <f>TEXT(Table13[[#This Row],[Date]],"MMM")</f>
        <v>Sep</v>
      </c>
      <c r="D54" s="6" t="str">
        <f>TEXT(Table13[[#This Row],[Date]],"YYYY")</f>
        <v>2024</v>
      </c>
      <c r="E54" s="4" t="s">
        <v>9</v>
      </c>
      <c r="F54" s="4" t="s">
        <v>10</v>
      </c>
      <c r="G54" s="4" t="s">
        <v>26</v>
      </c>
      <c r="H54" s="8">
        <v>335.17</v>
      </c>
      <c r="I54">
        <v>9</v>
      </c>
      <c r="J54" s="8">
        <v>26.1</v>
      </c>
      <c r="K54" t="str">
        <f>"Q"&amp;ROUNDUP(MONTH(Table13[[#This Row],[Date]])/3,0)</f>
        <v>Q3</v>
      </c>
    </row>
    <row r="55" spans="1:11" x14ac:dyDescent="0.35">
      <c r="A55" s="4" t="s">
        <v>73</v>
      </c>
      <c r="B55" s="6">
        <v>45064</v>
      </c>
      <c r="C55" s="6" t="str">
        <f>TEXT(Table13[[#This Row],[Date]],"MMM")</f>
        <v>May</v>
      </c>
      <c r="D55" s="6" t="str">
        <f>TEXT(Table13[[#This Row],[Date]],"YYYY")</f>
        <v>2023</v>
      </c>
      <c r="E55" s="4" t="s">
        <v>23</v>
      </c>
      <c r="F55" s="4" t="s">
        <v>16</v>
      </c>
      <c r="G55" s="4" t="s">
        <v>11</v>
      </c>
      <c r="H55" s="8">
        <v>628.72</v>
      </c>
      <c r="I55">
        <v>5</v>
      </c>
      <c r="J55" s="8">
        <v>110.03</v>
      </c>
      <c r="K55" t="str">
        <f>"Q"&amp;ROUNDUP(MONTH(Table13[[#This Row],[Date]])/3,0)</f>
        <v>Q2</v>
      </c>
    </row>
    <row r="56" spans="1:11" x14ac:dyDescent="0.35">
      <c r="A56" s="4" t="s">
        <v>74</v>
      </c>
      <c r="B56" s="6">
        <v>45205</v>
      </c>
      <c r="C56" s="6" t="str">
        <f>TEXT(Table13[[#This Row],[Date]],"MMM")</f>
        <v>Oct</v>
      </c>
      <c r="D56" s="6" t="str">
        <f>TEXT(Table13[[#This Row],[Date]],"YYYY")</f>
        <v>2023</v>
      </c>
      <c r="E56" s="4" t="s">
        <v>25</v>
      </c>
      <c r="F56" s="4" t="s">
        <v>16</v>
      </c>
      <c r="G56" s="4" t="s">
        <v>19</v>
      </c>
      <c r="H56" s="8">
        <v>3410.54</v>
      </c>
      <c r="I56">
        <v>5</v>
      </c>
      <c r="J56" s="8">
        <v>491.77</v>
      </c>
      <c r="K56" t="str">
        <f>"Q"&amp;ROUNDUP(MONTH(Table13[[#This Row],[Date]])/3,0)</f>
        <v>Q4</v>
      </c>
    </row>
    <row r="57" spans="1:11" x14ac:dyDescent="0.35">
      <c r="A57" s="4" t="s">
        <v>75</v>
      </c>
      <c r="B57" s="6">
        <v>45444</v>
      </c>
      <c r="C57" s="6" t="str">
        <f>TEXT(Table13[[#This Row],[Date]],"MMM")</f>
        <v>Jun</v>
      </c>
      <c r="D57" s="6" t="str">
        <f>TEXT(Table13[[#This Row],[Date]],"YYYY")</f>
        <v>2024</v>
      </c>
      <c r="E57" s="4" t="s">
        <v>15</v>
      </c>
      <c r="F57" s="4" t="s">
        <v>16</v>
      </c>
      <c r="G57" s="4" t="s">
        <v>26</v>
      </c>
      <c r="H57" s="8">
        <v>2527</v>
      </c>
      <c r="I57">
        <v>8</v>
      </c>
      <c r="J57" s="8">
        <v>215.87</v>
      </c>
      <c r="K57" t="str">
        <f>"Q"&amp;ROUNDUP(MONTH(Table13[[#This Row],[Date]])/3,0)</f>
        <v>Q2</v>
      </c>
    </row>
    <row r="58" spans="1:11" x14ac:dyDescent="0.35">
      <c r="A58" s="4" t="s">
        <v>76</v>
      </c>
      <c r="B58" s="6">
        <v>45576</v>
      </c>
      <c r="C58" s="6" t="str">
        <f>TEXT(Table13[[#This Row],[Date]],"MMM")</f>
        <v>Oct</v>
      </c>
      <c r="D58" s="6" t="str">
        <f>TEXT(Table13[[#This Row],[Date]],"YYYY")</f>
        <v>2024</v>
      </c>
      <c r="E58" s="4" t="s">
        <v>13</v>
      </c>
      <c r="F58" s="4" t="s">
        <v>10</v>
      </c>
      <c r="G58" s="4" t="s">
        <v>11</v>
      </c>
      <c r="H58" s="8">
        <v>5217.38</v>
      </c>
      <c r="I58">
        <v>7</v>
      </c>
      <c r="J58" s="8">
        <v>666.89</v>
      </c>
      <c r="K58" t="str">
        <f>"Q"&amp;ROUNDUP(MONTH(Table13[[#This Row],[Date]])/3,0)</f>
        <v>Q4</v>
      </c>
    </row>
    <row r="59" spans="1:11" x14ac:dyDescent="0.35">
      <c r="A59" s="4" t="s">
        <v>77</v>
      </c>
      <c r="B59" s="6">
        <v>45579</v>
      </c>
      <c r="C59" s="6" t="str">
        <f>TEXT(Table13[[#This Row],[Date]],"MMM")</f>
        <v>Oct</v>
      </c>
      <c r="D59" s="6" t="str">
        <f>TEXT(Table13[[#This Row],[Date]],"YYYY")</f>
        <v>2024</v>
      </c>
      <c r="E59" s="4" t="s">
        <v>23</v>
      </c>
      <c r="F59" s="4" t="s">
        <v>16</v>
      </c>
      <c r="G59" s="4" t="s">
        <v>19</v>
      </c>
      <c r="H59" s="8">
        <v>932.21</v>
      </c>
      <c r="I59">
        <v>5</v>
      </c>
      <c r="J59" s="8">
        <v>146.03</v>
      </c>
      <c r="K59" t="str">
        <f>"Q"&amp;ROUNDUP(MONTH(Table13[[#This Row],[Date]])/3,0)</f>
        <v>Q4</v>
      </c>
    </row>
    <row r="60" spans="1:11" x14ac:dyDescent="0.35">
      <c r="A60" s="4" t="s">
        <v>78</v>
      </c>
      <c r="B60" s="6">
        <v>45501</v>
      </c>
      <c r="C60" s="6" t="str">
        <f>TEXT(Table13[[#This Row],[Date]],"MMM")</f>
        <v>Jul</v>
      </c>
      <c r="D60" s="6" t="str">
        <f>TEXT(Table13[[#This Row],[Date]],"YYYY")</f>
        <v>2024</v>
      </c>
      <c r="E60" s="4" t="s">
        <v>9</v>
      </c>
      <c r="F60" s="4" t="s">
        <v>10</v>
      </c>
      <c r="G60" s="4" t="s">
        <v>21</v>
      </c>
      <c r="H60" s="8">
        <v>158.53</v>
      </c>
      <c r="I60">
        <v>1</v>
      </c>
      <c r="J60" s="8">
        <v>107.26</v>
      </c>
      <c r="K60" t="str">
        <f>"Q"&amp;ROUNDUP(MONTH(Table13[[#This Row],[Date]])/3,0)</f>
        <v>Q3</v>
      </c>
    </row>
    <row r="61" spans="1:11" x14ac:dyDescent="0.35">
      <c r="A61" s="4" t="s">
        <v>79</v>
      </c>
      <c r="B61" s="6">
        <v>45485</v>
      </c>
      <c r="C61" s="6" t="str">
        <f>TEXT(Table13[[#This Row],[Date]],"MMM")</f>
        <v>Jul</v>
      </c>
      <c r="D61" s="6" t="str">
        <f>TEXT(Table13[[#This Row],[Date]],"YYYY")</f>
        <v>2024</v>
      </c>
      <c r="E61" s="4" t="s">
        <v>9</v>
      </c>
      <c r="F61" s="4" t="s">
        <v>10</v>
      </c>
      <c r="G61" s="4" t="s">
        <v>19</v>
      </c>
      <c r="H61" s="8">
        <v>894.42</v>
      </c>
      <c r="I61">
        <v>1</v>
      </c>
      <c r="J61" s="8">
        <v>670.98</v>
      </c>
      <c r="K61" t="str">
        <f>"Q"&amp;ROUNDUP(MONTH(Table13[[#This Row],[Date]])/3,0)</f>
        <v>Q3</v>
      </c>
    </row>
    <row r="62" spans="1:11" x14ac:dyDescent="0.35">
      <c r="A62" s="4" t="s">
        <v>80</v>
      </c>
      <c r="B62" s="6">
        <v>45057</v>
      </c>
      <c r="C62" s="6" t="str">
        <f>TEXT(Table13[[#This Row],[Date]],"MMM")</f>
        <v>May</v>
      </c>
      <c r="D62" s="6" t="str">
        <f>TEXT(Table13[[#This Row],[Date]],"YYYY")</f>
        <v>2023</v>
      </c>
      <c r="E62" s="4" t="s">
        <v>15</v>
      </c>
      <c r="F62" s="4" t="s">
        <v>16</v>
      </c>
      <c r="G62" s="4" t="s">
        <v>21</v>
      </c>
      <c r="H62" s="8">
        <v>380.14</v>
      </c>
      <c r="I62">
        <v>1</v>
      </c>
      <c r="J62" s="8">
        <v>260.44</v>
      </c>
      <c r="K62" t="str">
        <f>"Q"&amp;ROUNDUP(MONTH(Table13[[#This Row],[Date]])/3,0)</f>
        <v>Q2</v>
      </c>
    </row>
    <row r="63" spans="1:11" x14ac:dyDescent="0.35">
      <c r="A63" s="4" t="s">
        <v>81</v>
      </c>
      <c r="B63" s="6">
        <v>45142</v>
      </c>
      <c r="C63" s="6" t="str">
        <f>TEXT(Table13[[#This Row],[Date]],"MMM")</f>
        <v>Aug</v>
      </c>
      <c r="D63" s="6" t="str">
        <f>TEXT(Table13[[#This Row],[Date]],"YYYY")</f>
        <v>2023</v>
      </c>
      <c r="E63" s="4" t="s">
        <v>13</v>
      </c>
      <c r="F63" s="4" t="s">
        <v>10</v>
      </c>
      <c r="G63" s="4" t="s">
        <v>26</v>
      </c>
      <c r="H63" s="8">
        <v>2682.62</v>
      </c>
      <c r="I63">
        <v>4</v>
      </c>
      <c r="J63" s="8">
        <v>540.21</v>
      </c>
      <c r="K63" t="str">
        <f>"Q"&amp;ROUNDUP(MONTH(Table13[[#This Row],[Date]])/3,0)</f>
        <v>Q3</v>
      </c>
    </row>
    <row r="64" spans="1:11" x14ac:dyDescent="0.35">
      <c r="A64" s="4" t="s">
        <v>82</v>
      </c>
      <c r="B64" s="6">
        <v>45562</v>
      </c>
      <c r="C64" s="6" t="str">
        <f>TEXT(Table13[[#This Row],[Date]],"MMM")</f>
        <v>Sep</v>
      </c>
      <c r="D64" s="6" t="str">
        <f>TEXT(Table13[[#This Row],[Date]],"YYYY")</f>
        <v>2024</v>
      </c>
      <c r="E64" s="4" t="s">
        <v>25</v>
      </c>
      <c r="F64" s="4" t="s">
        <v>16</v>
      </c>
      <c r="G64" s="4" t="s">
        <v>21</v>
      </c>
      <c r="H64" s="8">
        <v>2659.75</v>
      </c>
      <c r="I64">
        <v>3</v>
      </c>
      <c r="J64" s="8">
        <v>742.1</v>
      </c>
      <c r="K64" t="str">
        <f>"Q"&amp;ROUNDUP(MONTH(Table13[[#This Row],[Date]])/3,0)</f>
        <v>Q3</v>
      </c>
    </row>
    <row r="65" spans="1:11" x14ac:dyDescent="0.35">
      <c r="A65" s="4" t="s">
        <v>83</v>
      </c>
      <c r="B65" s="6">
        <v>45349</v>
      </c>
      <c r="C65" s="6" t="str">
        <f>TEXT(Table13[[#This Row],[Date]],"MMM")</f>
        <v>Feb</v>
      </c>
      <c r="D65" s="6" t="str">
        <f>TEXT(Table13[[#This Row],[Date]],"YYYY")</f>
        <v>2024</v>
      </c>
      <c r="E65" s="4" t="s">
        <v>15</v>
      </c>
      <c r="F65" s="4" t="s">
        <v>16</v>
      </c>
      <c r="G65" s="4" t="s">
        <v>19</v>
      </c>
      <c r="H65" s="8">
        <v>235.02</v>
      </c>
      <c r="I65">
        <v>1</v>
      </c>
      <c r="J65" s="8">
        <v>159.9</v>
      </c>
      <c r="K65" t="str">
        <f>"Q"&amp;ROUNDUP(MONTH(Table13[[#This Row],[Date]])/3,0)</f>
        <v>Q1</v>
      </c>
    </row>
    <row r="66" spans="1:11" x14ac:dyDescent="0.35">
      <c r="A66" s="4" t="s">
        <v>84</v>
      </c>
      <c r="B66" s="6">
        <v>45200</v>
      </c>
      <c r="C66" s="6" t="str">
        <f>TEXT(Table13[[#This Row],[Date]],"MMM")</f>
        <v>Oct</v>
      </c>
      <c r="D66" s="6" t="str">
        <f>TEXT(Table13[[#This Row],[Date]],"YYYY")</f>
        <v>2023</v>
      </c>
      <c r="E66" s="4" t="s">
        <v>18</v>
      </c>
      <c r="F66" s="4" t="s">
        <v>10</v>
      </c>
      <c r="G66" s="4" t="s">
        <v>19</v>
      </c>
      <c r="H66" s="8">
        <v>2174.9499999999998</v>
      </c>
      <c r="I66">
        <v>3</v>
      </c>
      <c r="J66" s="8">
        <v>634.15</v>
      </c>
      <c r="K66" t="str">
        <f>"Q"&amp;ROUNDUP(MONTH(Table13[[#This Row],[Date]])/3,0)</f>
        <v>Q4</v>
      </c>
    </row>
    <row r="67" spans="1:11" x14ac:dyDescent="0.35">
      <c r="A67" s="4" t="s">
        <v>85</v>
      </c>
      <c r="B67" s="6">
        <v>45154</v>
      </c>
      <c r="C67" s="6" t="str">
        <f>TEXT(Table13[[#This Row],[Date]],"MMM")</f>
        <v>Aug</v>
      </c>
      <c r="D67" s="6" t="str">
        <f>TEXT(Table13[[#This Row],[Date]],"YYYY")</f>
        <v>2023</v>
      </c>
      <c r="E67" s="4" t="s">
        <v>13</v>
      </c>
      <c r="F67" s="4" t="s">
        <v>10</v>
      </c>
      <c r="G67" s="4" t="s">
        <v>21</v>
      </c>
      <c r="H67" s="8">
        <v>3374.36</v>
      </c>
      <c r="I67">
        <v>4</v>
      </c>
      <c r="J67" s="8">
        <v>656.94</v>
      </c>
      <c r="K67" t="str">
        <f>"Q"&amp;ROUNDUP(MONTH(Table13[[#This Row],[Date]])/3,0)</f>
        <v>Q3</v>
      </c>
    </row>
    <row r="68" spans="1:11" x14ac:dyDescent="0.35">
      <c r="A68" s="4" t="s">
        <v>86</v>
      </c>
      <c r="B68" s="6">
        <v>45155</v>
      </c>
      <c r="C68" s="6" t="str">
        <f>TEXT(Table13[[#This Row],[Date]],"MMM")</f>
        <v>Aug</v>
      </c>
      <c r="D68" s="6" t="str">
        <f>TEXT(Table13[[#This Row],[Date]],"YYYY")</f>
        <v>2023</v>
      </c>
      <c r="E68" s="4" t="s">
        <v>23</v>
      </c>
      <c r="F68" s="4" t="s">
        <v>16</v>
      </c>
      <c r="G68" s="4" t="s">
        <v>19</v>
      </c>
      <c r="H68" s="8">
        <v>673.56</v>
      </c>
      <c r="I68">
        <v>1</v>
      </c>
      <c r="J68" s="8">
        <v>534.83000000000004</v>
      </c>
      <c r="K68" t="str">
        <f>"Q"&amp;ROUNDUP(MONTH(Table13[[#This Row],[Date]])/3,0)</f>
        <v>Q3</v>
      </c>
    </row>
    <row r="69" spans="1:11" x14ac:dyDescent="0.35">
      <c r="A69" s="4" t="s">
        <v>87</v>
      </c>
      <c r="B69" s="6">
        <v>45212</v>
      </c>
      <c r="C69" s="6" t="str">
        <f>TEXT(Table13[[#This Row],[Date]],"MMM")</f>
        <v>Oct</v>
      </c>
      <c r="D69" s="6" t="str">
        <f>TEXT(Table13[[#This Row],[Date]],"YYYY")</f>
        <v>2023</v>
      </c>
      <c r="E69" s="4" t="s">
        <v>23</v>
      </c>
      <c r="F69" s="4" t="s">
        <v>16</v>
      </c>
      <c r="G69" s="4" t="s">
        <v>11</v>
      </c>
      <c r="H69" s="8">
        <v>3933.52</v>
      </c>
      <c r="I69">
        <v>6</v>
      </c>
      <c r="J69" s="8">
        <v>520.36</v>
      </c>
      <c r="K69" t="str">
        <f>"Q"&amp;ROUNDUP(MONTH(Table13[[#This Row],[Date]])/3,0)</f>
        <v>Q4</v>
      </c>
    </row>
    <row r="70" spans="1:11" x14ac:dyDescent="0.35">
      <c r="A70" s="4" t="s">
        <v>88</v>
      </c>
      <c r="B70" s="6">
        <v>44955</v>
      </c>
      <c r="C70" s="6" t="str">
        <f>TEXT(Table13[[#This Row],[Date]],"MMM")</f>
        <v>Jan</v>
      </c>
      <c r="D70" s="6" t="str">
        <f>TEXT(Table13[[#This Row],[Date]],"YYYY")</f>
        <v>2023</v>
      </c>
      <c r="E70" s="4" t="s">
        <v>25</v>
      </c>
      <c r="F70" s="4" t="s">
        <v>16</v>
      </c>
      <c r="G70" s="4" t="s">
        <v>26</v>
      </c>
      <c r="H70" s="8">
        <v>1696.13</v>
      </c>
      <c r="I70">
        <v>2</v>
      </c>
      <c r="J70" s="8">
        <v>704.09</v>
      </c>
      <c r="K70" t="str">
        <f>"Q"&amp;ROUNDUP(MONTH(Table13[[#This Row],[Date]])/3,0)</f>
        <v>Q1</v>
      </c>
    </row>
    <row r="71" spans="1:11" x14ac:dyDescent="0.35">
      <c r="A71" s="4" t="s">
        <v>89</v>
      </c>
      <c r="B71" s="6">
        <v>44966</v>
      </c>
      <c r="C71" s="6" t="str">
        <f>TEXT(Table13[[#This Row],[Date]],"MMM")</f>
        <v>Feb</v>
      </c>
      <c r="D71" s="6" t="str">
        <f>TEXT(Table13[[#This Row],[Date]],"YYYY")</f>
        <v>2023</v>
      </c>
      <c r="E71" s="4" t="s">
        <v>25</v>
      </c>
      <c r="F71" s="4" t="s">
        <v>16</v>
      </c>
      <c r="G71" s="4" t="s">
        <v>26</v>
      </c>
      <c r="H71" s="8">
        <v>1201.94</v>
      </c>
      <c r="I71">
        <v>2</v>
      </c>
      <c r="J71" s="8">
        <v>485.33</v>
      </c>
      <c r="K71" t="str">
        <f>"Q"&amp;ROUNDUP(MONTH(Table13[[#This Row],[Date]])/3,0)</f>
        <v>Q1</v>
      </c>
    </row>
    <row r="72" spans="1:11" x14ac:dyDescent="0.35">
      <c r="A72" s="4" t="s">
        <v>90</v>
      </c>
      <c r="B72" s="6">
        <v>45547</v>
      </c>
      <c r="C72" s="6" t="str">
        <f>TEXT(Table13[[#This Row],[Date]],"MMM")</f>
        <v>Sep</v>
      </c>
      <c r="D72" s="6" t="str">
        <f>TEXT(Table13[[#This Row],[Date]],"YYYY")</f>
        <v>2024</v>
      </c>
      <c r="E72" s="4" t="s">
        <v>23</v>
      </c>
      <c r="F72" s="4" t="s">
        <v>16</v>
      </c>
      <c r="G72" s="4" t="s">
        <v>21</v>
      </c>
      <c r="H72" s="8">
        <v>1447.83</v>
      </c>
      <c r="I72">
        <v>9</v>
      </c>
      <c r="J72" s="8">
        <v>110.2</v>
      </c>
      <c r="K72" t="str">
        <f>"Q"&amp;ROUNDUP(MONTH(Table13[[#This Row],[Date]])/3,0)</f>
        <v>Q3</v>
      </c>
    </row>
    <row r="73" spans="1:11" x14ac:dyDescent="0.35">
      <c r="A73" s="4" t="s">
        <v>91</v>
      </c>
      <c r="B73" s="6">
        <v>44972</v>
      </c>
      <c r="C73" s="6" t="str">
        <f>TEXT(Table13[[#This Row],[Date]],"MMM")</f>
        <v>Feb</v>
      </c>
      <c r="D73" s="6" t="str">
        <f>TEXT(Table13[[#This Row],[Date]],"YYYY")</f>
        <v>2023</v>
      </c>
      <c r="E73" s="4" t="s">
        <v>15</v>
      </c>
      <c r="F73" s="4" t="s">
        <v>16</v>
      </c>
      <c r="G73" s="4" t="s">
        <v>26</v>
      </c>
      <c r="H73" s="8">
        <v>219.42</v>
      </c>
      <c r="I73">
        <v>7</v>
      </c>
      <c r="J73" s="8">
        <v>21.32</v>
      </c>
      <c r="K73" t="str">
        <f>"Q"&amp;ROUNDUP(MONTH(Table13[[#This Row],[Date]])/3,0)</f>
        <v>Q1</v>
      </c>
    </row>
    <row r="74" spans="1:11" x14ac:dyDescent="0.35">
      <c r="A74" s="4" t="s">
        <v>92</v>
      </c>
      <c r="B74" s="6">
        <v>45299</v>
      </c>
      <c r="C74" s="6" t="str">
        <f>TEXT(Table13[[#This Row],[Date]],"MMM")</f>
        <v>Jan</v>
      </c>
      <c r="D74" s="6" t="str">
        <f>TEXT(Table13[[#This Row],[Date]],"YYYY")</f>
        <v>2024</v>
      </c>
      <c r="E74" s="4" t="s">
        <v>25</v>
      </c>
      <c r="F74" s="4" t="s">
        <v>16</v>
      </c>
      <c r="G74" s="4" t="s">
        <v>19</v>
      </c>
      <c r="H74" s="8">
        <v>712.97</v>
      </c>
      <c r="I74">
        <v>7</v>
      </c>
      <c r="J74" s="8">
        <v>74.58</v>
      </c>
      <c r="K74" t="str">
        <f>"Q"&amp;ROUNDUP(MONTH(Table13[[#This Row],[Date]])/3,0)</f>
        <v>Q1</v>
      </c>
    </row>
    <row r="75" spans="1:11" x14ac:dyDescent="0.35">
      <c r="A75" s="4" t="s">
        <v>93</v>
      </c>
      <c r="B75" s="6">
        <v>45606</v>
      </c>
      <c r="C75" s="6" t="str">
        <f>TEXT(Table13[[#This Row],[Date]],"MMM")</f>
        <v>Nov</v>
      </c>
      <c r="D75" s="6" t="str">
        <f>TEXT(Table13[[#This Row],[Date]],"YYYY")</f>
        <v>2024</v>
      </c>
      <c r="E75" s="4" t="s">
        <v>23</v>
      </c>
      <c r="F75" s="4" t="s">
        <v>16</v>
      </c>
      <c r="G75" s="4" t="s">
        <v>26</v>
      </c>
      <c r="H75" s="8">
        <v>1418.79</v>
      </c>
      <c r="I75">
        <v>2</v>
      </c>
      <c r="J75" s="8">
        <v>581.41</v>
      </c>
      <c r="K75" t="str">
        <f>"Q"&amp;ROUNDUP(MONTH(Table13[[#This Row],[Date]])/3,0)</f>
        <v>Q4</v>
      </c>
    </row>
    <row r="76" spans="1:11" x14ac:dyDescent="0.35">
      <c r="A76" s="4" t="s">
        <v>94</v>
      </c>
      <c r="B76" s="6">
        <v>45261</v>
      </c>
      <c r="C76" s="6" t="str">
        <f>TEXT(Table13[[#This Row],[Date]],"MMM")</f>
        <v>Dec</v>
      </c>
      <c r="D76" s="6" t="str">
        <f>TEXT(Table13[[#This Row],[Date]],"YYYY")</f>
        <v>2023</v>
      </c>
      <c r="E76" s="4" t="s">
        <v>23</v>
      </c>
      <c r="F76" s="4" t="s">
        <v>16</v>
      </c>
      <c r="G76" s="4" t="s">
        <v>21</v>
      </c>
      <c r="H76" s="8">
        <v>5216.66</v>
      </c>
      <c r="I76">
        <v>7</v>
      </c>
      <c r="J76" s="8">
        <v>563.82000000000005</v>
      </c>
      <c r="K76" t="str">
        <f>"Q"&amp;ROUNDUP(MONTH(Table13[[#This Row],[Date]])/3,0)</f>
        <v>Q4</v>
      </c>
    </row>
    <row r="77" spans="1:11" x14ac:dyDescent="0.35">
      <c r="A77" s="4" t="s">
        <v>95</v>
      </c>
      <c r="B77" s="6">
        <v>45607</v>
      </c>
      <c r="C77" s="6" t="str">
        <f>TEXT(Table13[[#This Row],[Date]],"MMM")</f>
        <v>Nov</v>
      </c>
      <c r="D77" s="6" t="str">
        <f>TEXT(Table13[[#This Row],[Date]],"YYYY")</f>
        <v>2024</v>
      </c>
      <c r="E77" s="4" t="s">
        <v>15</v>
      </c>
      <c r="F77" s="4" t="s">
        <v>16</v>
      </c>
      <c r="G77" s="4" t="s">
        <v>21</v>
      </c>
      <c r="H77" s="8">
        <v>5608.04</v>
      </c>
      <c r="I77">
        <v>7</v>
      </c>
      <c r="J77" s="8">
        <v>548.30999999999995</v>
      </c>
      <c r="K77" t="str">
        <f>"Q"&amp;ROUNDUP(MONTH(Table13[[#This Row],[Date]])/3,0)</f>
        <v>Q4</v>
      </c>
    </row>
    <row r="78" spans="1:11" x14ac:dyDescent="0.35">
      <c r="A78" s="4" t="s">
        <v>96</v>
      </c>
      <c r="B78" s="6">
        <v>45342</v>
      </c>
      <c r="C78" s="6" t="str">
        <f>TEXT(Table13[[#This Row],[Date]],"MMM")</f>
        <v>Feb</v>
      </c>
      <c r="D78" s="6" t="str">
        <f>TEXT(Table13[[#This Row],[Date]],"YYYY")</f>
        <v>2024</v>
      </c>
      <c r="E78" s="4" t="s">
        <v>25</v>
      </c>
      <c r="F78" s="4" t="s">
        <v>16</v>
      </c>
      <c r="G78" s="4" t="s">
        <v>26</v>
      </c>
      <c r="H78" s="8">
        <v>7369.35</v>
      </c>
      <c r="I78">
        <v>9</v>
      </c>
      <c r="J78" s="8">
        <v>670.31</v>
      </c>
      <c r="K78" t="str">
        <f>"Q"&amp;ROUNDUP(MONTH(Table13[[#This Row],[Date]])/3,0)</f>
        <v>Q1</v>
      </c>
    </row>
    <row r="79" spans="1:11" x14ac:dyDescent="0.35">
      <c r="A79" s="4" t="s">
        <v>97</v>
      </c>
      <c r="B79" s="6">
        <v>45520</v>
      </c>
      <c r="C79" s="6" t="str">
        <f>TEXT(Table13[[#This Row],[Date]],"MMM")</f>
        <v>Aug</v>
      </c>
      <c r="D79" s="6" t="str">
        <f>TEXT(Table13[[#This Row],[Date]],"YYYY")</f>
        <v>2024</v>
      </c>
      <c r="E79" s="4" t="s">
        <v>15</v>
      </c>
      <c r="F79" s="4" t="s">
        <v>16</v>
      </c>
      <c r="G79" s="4" t="s">
        <v>21</v>
      </c>
      <c r="H79" s="8">
        <v>6824.39</v>
      </c>
      <c r="I79">
        <v>10</v>
      </c>
      <c r="J79" s="8">
        <v>530.66999999999996</v>
      </c>
      <c r="K79" t="str">
        <f>"Q"&amp;ROUNDUP(MONTH(Table13[[#This Row],[Date]])/3,0)</f>
        <v>Q3</v>
      </c>
    </row>
    <row r="80" spans="1:11" x14ac:dyDescent="0.35">
      <c r="A80" s="4" t="s">
        <v>98</v>
      </c>
      <c r="B80" s="6">
        <v>45450</v>
      </c>
      <c r="C80" s="6" t="str">
        <f>TEXT(Table13[[#This Row],[Date]],"MMM")</f>
        <v>Jun</v>
      </c>
      <c r="D80" s="6" t="str">
        <f>TEXT(Table13[[#This Row],[Date]],"YYYY")</f>
        <v>2024</v>
      </c>
      <c r="E80" s="4" t="s">
        <v>18</v>
      </c>
      <c r="F80" s="4" t="s">
        <v>10</v>
      </c>
      <c r="G80" s="4" t="s">
        <v>19</v>
      </c>
      <c r="H80" s="8">
        <v>7587.17</v>
      </c>
      <c r="I80">
        <v>8</v>
      </c>
      <c r="J80" s="8">
        <v>639.11</v>
      </c>
      <c r="K80" t="str">
        <f>"Q"&amp;ROUNDUP(MONTH(Table13[[#This Row],[Date]])/3,0)</f>
        <v>Q2</v>
      </c>
    </row>
    <row r="81" spans="1:11" x14ac:dyDescent="0.35">
      <c r="A81" s="4" t="s">
        <v>99</v>
      </c>
      <c r="B81" s="6">
        <v>45601</v>
      </c>
      <c r="C81" s="6" t="str">
        <f>TEXT(Table13[[#This Row],[Date]],"MMM")</f>
        <v>Nov</v>
      </c>
      <c r="D81" s="6" t="str">
        <f>TEXT(Table13[[#This Row],[Date]],"YYYY")</f>
        <v>2024</v>
      </c>
      <c r="E81" s="4" t="s">
        <v>9</v>
      </c>
      <c r="F81" s="4" t="s">
        <v>10</v>
      </c>
      <c r="G81" s="4" t="s">
        <v>19</v>
      </c>
      <c r="H81" s="8">
        <v>659.15</v>
      </c>
      <c r="I81">
        <v>2</v>
      </c>
      <c r="J81" s="8">
        <v>241.35</v>
      </c>
      <c r="K81" t="str">
        <f>"Q"&amp;ROUNDUP(MONTH(Table13[[#This Row],[Date]])/3,0)</f>
        <v>Q4</v>
      </c>
    </row>
    <row r="82" spans="1:11" x14ac:dyDescent="0.35">
      <c r="A82" s="4" t="s">
        <v>100</v>
      </c>
      <c r="B82" s="6">
        <v>45022</v>
      </c>
      <c r="C82" s="6" t="str">
        <f>TEXT(Table13[[#This Row],[Date]],"MMM")</f>
        <v>Apr</v>
      </c>
      <c r="D82" s="6" t="str">
        <f>TEXT(Table13[[#This Row],[Date]],"YYYY")</f>
        <v>2023</v>
      </c>
      <c r="E82" s="4" t="s">
        <v>25</v>
      </c>
      <c r="F82" s="4" t="s">
        <v>16</v>
      </c>
      <c r="G82" s="4" t="s">
        <v>26</v>
      </c>
      <c r="H82" s="8">
        <v>2592.84</v>
      </c>
      <c r="I82">
        <v>4</v>
      </c>
      <c r="J82" s="8">
        <v>544.78</v>
      </c>
      <c r="K82" t="str">
        <f>"Q"&amp;ROUNDUP(MONTH(Table13[[#This Row],[Date]])/3,0)</f>
        <v>Q2</v>
      </c>
    </row>
    <row r="83" spans="1:11" x14ac:dyDescent="0.35">
      <c r="A83" s="4" t="s">
        <v>101</v>
      </c>
      <c r="B83" s="6">
        <v>44952</v>
      </c>
      <c r="C83" s="6" t="str">
        <f>TEXT(Table13[[#This Row],[Date]],"MMM")</f>
        <v>Jan</v>
      </c>
      <c r="D83" s="6" t="str">
        <f>TEXT(Table13[[#This Row],[Date]],"YYYY")</f>
        <v>2023</v>
      </c>
      <c r="E83" s="4" t="s">
        <v>15</v>
      </c>
      <c r="F83" s="4" t="s">
        <v>16</v>
      </c>
      <c r="G83" s="4" t="s">
        <v>19</v>
      </c>
      <c r="H83" s="8">
        <v>272.18</v>
      </c>
      <c r="I83">
        <v>1</v>
      </c>
      <c r="J83" s="8">
        <v>210.98</v>
      </c>
      <c r="K83" t="str">
        <f>"Q"&amp;ROUNDUP(MONTH(Table13[[#This Row],[Date]])/3,0)</f>
        <v>Q1</v>
      </c>
    </row>
    <row r="84" spans="1:11" x14ac:dyDescent="0.35">
      <c r="A84" s="4" t="s">
        <v>102</v>
      </c>
      <c r="B84" s="6">
        <v>45351</v>
      </c>
      <c r="C84" s="6" t="str">
        <f>TEXT(Table13[[#This Row],[Date]],"MMM")</f>
        <v>Feb</v>
      </c>
      <c r="D84" s="6" t="str">
        <f>TEXT(Table13[[#This Row],[Date]],"YYYY")</f>
        <v>2024</v>
      </c>
      <c r="E84" s="4" t="s">
        <v>13</v>
      </c>
      <c r="F84" s="4" t="s">
        <v>10</v>
      </c>
      <c r="G84" s="4" t="s">
        <v>21</v>
      </c>
      <c r="H84" s="8">
        <v>2366.4</v>
      </c>
      <c r="I84">
        <v>10</v>
      </c>
      <c r="J84" s="8">
        <v>171.66</v>
      </c>
      <c r="K84" t="str">
        <f>"Q"&amp;ROUNDUP(MONTH(Table13[[#This Row],[Date]])/3,0)</f>
        <v>Q1</v>
      </c>
    </row>
    <row r="85" spans="1:11" x14ac:dyDescent="0.35">
      <c r="A85" s="4" t="s">
        <v>103</v>
      </c>
      <c r="B85" s="6">
        <v>45176</v>
      </c>
      <c r="C85" s="6" t="str">
        <f>TEXT(Table13[[#This Row],[Date]],"MMM")</f>
        <v>Sep</v>
      </c>
      <c r="D85" s="6" t="str">
        <f>TEXT(Table13[[#This Row],[Date]],"YYYY")</f>
        <v>2023</v>
      </c>
      <c r="E85" s="4" t="s">
        <v>18</v>
      </c>
      <c r="F85" s="4" t="s">
        <v>10</v>
      </c>
      <c r="G85" s="4" t="s">
        <v>21</v>
      </c>
      <c r="H85" s="8">
        <v>1758.25</v>
      </c>
      <c r="I85">
        <v>3</v>
      </c>
      <c r="J85" s="8">
        <v>531.73</v>
      </c>
      <c r="K85" t="str">
        <f>"Q"&amp;ROUNDUP(MONTH(Table13[[#This Row],[Date]])/3,0)</f>
        <v>Q3</v>
      </c>
    </row>
    <row r="86" spans="1:11" x14ac:dyDescent="0.35">
      <c r="A86" s="4" t="s">
        <v>104</v>
      </c>
      <c r="B86" s="6">
        <v>45151</v>
      </c>
      <c r="C86" s="6" t="str">
        <f>TEXT(Table13[[#This Row],[Date]],"MMM")</f>
        <v>Aug</v>
      </c>
      <c r="D86" s="6" t="str">
        <f>TEXT(Table13[[#This Row],[Date]],"YYYY")</f>
        <v>2023</v>
      </c>
      <c r="E86" s="4" t="s">
        <v>13</v>
      </c>
      <c r="F86" s="4" t="s">
        <v>10</v>
      </c>
      <c r="G86" s="4" t="s">
        <v>21</v>
      </c>
      <c r="H86" s="8">
        <v>2676.27</v>
      </c>
      <c r="I86">
        <v>3</v>
      </c>
      <c r="J86" s="8">
        <v>647.21</v>
      </c>
      <c r="K86" t="str">
        <f>"Q"&amp;ROUNDUP(MONTH(Table13[[#This Row],[Date]])/3,0)</f>
        <v>Q3</v>
      </c>
    </row>
    <row r="87" spans="1:11" x14ac:dyDescent="0.35">
      <c r="A87" s="4" t="s">
        <v>105</v>
      </c>
      <c r="B87" s="6">
        <v>45497</v>
      </c>
      <c r="C87" s="6" t="str">
        <f>TEXT(Table13[[#This Row],[Date]],"MMM")</f>
        <v>Jul</v>
      </c>
      <c r="D87" s="6" t="str">
        <f>TEXT(Table13[[#This Row],[Date]],"YYYY")</f>
        <v>2024</v>
      </c>
      <c r="E87" s="4" t="s">
        <v>18</v>
      </c>
      <c r="F87" s="4" t="s">
        <v>10</v>
      </c>
      <c r="G87" s="4" t="s">
        <v>11</v>
      </c>
      <c r="H87" s="8">
        <v>3379.61</v>
      </c>
      <c r="I87">
        <v>4</v>
      </c>
      <c r="J87" s="8">
        <v>735.63</v>
      </c>
      <c r="K87" t="str">
        <f>"Q"&amp;ROUNDUP(MONTH(Table13[[#This Row],[Date]])/3,0)</f>
        <v>Q3</v>
      </c>
    </row>
    <row r="88" spans="1:11" x14ac:dyDescent="0.35">
      <c r="A88" s="4" t="s">
        <v>106</v>
      </c>
      <c r="B88" s="6">
        <v>45610</v>
      </c>
      <c r="C88" s="6" t="str">
        <f>TEXT(Table13[[#This Row],[Date]],"MMM")</f>
        <v>Nov</v>
      </c>
      <c r="D88" s="6" t="str">
        <f>TEXT(Table13[[#This Row],[Date]],"YYYY")</f>
        <v>2024</v>
      </c>
      <c r="E88" s="4" t="s">
        <v>15</v>
      </c>
      <c r="F88" s="4" t="s">
        <v>16</v>
      </c>
      <c r="G88" s="4" t="s">
        <v>21</v>
      </c>
      <c r="H88" s="8">
        <v>9521.2099999999991</v>
      </c>
      <c r="I88">
        <v>9</v>
      </c>
      <c r="J88" s="8">
        <v>790.56</v>
      </c>
      <c r="K88" t="str">
        <f>"Q"&amp;ROUNDUP(MONTH(Table13[[#This Row],[Date]])/3,0)</f>
        <v>Q4</v>
      </c>
    </row>
    <row r="89" spans="1:11" x14ac:dyDescent="0.35">
      <c r="A89" s="4" t="s">
        <v>107</v>
      </c>
      <c r="B89" s="6">
        <v>45488</v>
      </c>
      <c r="C89" s="6" t="str">
        <f>TEXT(Table13[[#This Row],[Date]],"MMM")</f>
        <v>Jul</v>
      </c>
      <c r="D89" s="6" t="str">
        <f>TEXT(Table13[[#This Row],[Date]],"YYYY")</f>
        <v>2024</v>
      </c>
      <c r="E89" s="4" t="s">
        <v>18</v>
      </c>
      <c r="F89" s="4" t="s">
        <v>10</v>
      </c>
      <c r="G89" s="4" t="s">
        <v>21</v>
      </c>
      <c r="H89" s="8">
        <v>8047.37</v>
      </c>
      <c r="I89">
        <v>8</v>
      </c>
      <c r="J89" s="8">
        <v>719.82</v>
      </c>
      <c r="K89" t="str">
        <f>"Q"&amp;ROUNDUP(MONTH(Table13[[#This Row],[Date]])/3,0)</f>
        <v>Q3</v>
      </c>
    </row>
    <row r="90" spans="1:11" x14ac:dyDescent="0.35">
      <c r="A90" s="4" t="s">
        <v>108</v>
      </c>
      <c r="B90" s="6">
        <v>45192</v>
      </c>
      <c r="C90" s="6" t="str">
        <f>TEXT(Table13[[#This Row],[Date]],"MMM")</f>
        <v>Sep</v>
      </c>
      <c r="D90" s="6" t="str">
        <f>TEXT(Table13[[#This Row],[Date]],"YYYY")</f>
        <v>2023</v>
      </c>
      <c r="E90" s="4" t="s">
        <v>18</v>
      </c>
      <c r="F90" s="4" t="s">
        <v>10</v>
      </c>
      <c r="G90" s="4" t="s">
        <v>21</v>
      </c>
      <c r="H90" s="8">
        <v>3269.93</v>
      </c>
      <c r="I90">
        <v>4</v>
      </c>
      <c r="J90" s="8">
        <v>675.09</v>
      </c>
      <c r="K90" t="str">
        <f>"Q"&amp;ROUNDUP(MONTH(Table13[[#This Row],[Date]])/3,0)</f>
        <v>Q3</v>
      </c>
    </row>
    <row r="91" spans="1:11" x14ac:dyDescent="0.35">
      <c r="A91" s="4" t="s">
        <v>109</v>
      </c>
      <c r="B91" s="6">
        <v>45568</v>
      </c>
      <c r="C91" s="6" t="str">
        <f>TEXT(Table13[[#This Row],[Date]],"MMM")</f>
        <v>Oct</v>
      </c>
      <c r="D91" s="6" t="str">
        <f>TEXT(Table13[[#This Row],[Date]],"YYYY")</f>
        <v>2024</v>
      </c>
      <c r="E91" s="4" t="s">
        <v>25</v>
      </c>
      <c r="F91" s="4" t="s">
        <v>16</v>
      </c>
      <c r="G91" s="4" t="s">
        <v>21</v>
      </c>
      <c r="H91" s="8">
        <v>1059.47</v>
      </c>
      <c r="I91">
        <v>4</v>
      </c>
      <c r="J91" s="8">
        <v>234.19</v>
      </c>
      <c r="K91" t="str">
        <f>"Q"&amp;ROUNDUP(MONTH(Table13[[#This Row],[Date]])/3,0)</f>
        <v>Q4</v>
      </c>
    </row>
    <row r="92" spans="1:11" x14ac:dyDescent="0.35">
      <c r="A92" s="4" t="s">
        <v>110</v>
      </c>
      <c r="B92" s="6">
        <v>45205</v>
      </c>
      <c r="C92" s="6" t="str">
        <f>TEXT(Table13[[#This Row],[Date]],"MMM")</f>
        <v>Oct</v>
      </c>
      <c r="D92" s="6" t="str">
        <f>TEXT(Table13[[#This Row],[Date]],"YYYY")</f>
        <v>2023</v>
      </c>
      <c r="E92" s="4" t="s">
        <v>23</v>
      </c>
      <c r="F92" s="4" t="s">
        <v>16</v>
      </c>
      <c r="G92" s="4" t="s">
        <v>19</v>
      </c>
      <c r="H92" s="8">
        <v>2127.04</v>
      </c>
      <c r="I92">
        <v>6</v>
      </c>
      <c r="J92" s="8">
        <v>269.37</v>
      </c>
      <c r="K92" t="str">
        <f>"Q"&amp;ROUNDUP(MONTH(Table13[[#This Row],[Date]])/3,0)</f>
        <v>Q4</v>
      </c>
    </row>
    <row r="93" spans="1:11" x14ac:dyDescent="0.35">
      <c r="A93" s="4" t="s">
        <v>111</v>
      </c>
      <c r="B93" s="6">
        <v>45163</v>
      </c>
      <c r="C93" s="6" t="str">
        <f>TEXT(Table13[[#This Row],[Date]],"MMM")</f>
        <v>Aug</v>
      </c>
      <c r="D93" s="6" t="str">
        <f>TEXT(Table13[[#This Row],[Date]],"YYYY")</f>
        <v>2023</v>
      </c>
      <c r="E93" s="4" t="s">
        <v>15</v>
      </c>
      <c r="F93" s="4" t="s">
        <v>16</v>
      </c>
      <c r="G93" s="4" t="s">
        <v>19</v>
      </c>
      <c r="H93" s="8">
        <v>5432.05</v>
      </c>
      <c r="I93">
        <v>7</v>
      </c>
      <c r="J93" s="8">
        <v>561.28</v>
      </c>
      <c r="K93" t="str">
        <f>"Q"&amp;ROUNDUP(MONTH(Table13[[#This Row],[Date]])/3,0)</f>
        <v>Q3</v>
      </c>
    </row>
    <row r="94" spans="1:11" x14ac:dyDescent="0.35">
      <c r="A94" s="4" t="s">
        <v>112</v>
      </c>
      <c r="B94" s="6">
        <v>45344</v>
      </c>
      <c r="C94" s="6" t="str">
        <f>TEXT(Table13[[#This Row],[Date]],"MMM")</f>
        <v>Feb</v>
      </c>
      <c r="D94" s="6" t="str">
        <f>TEXT(Table13[[#This Row],[Date]],"YYYY")</f>
        <v>2024</v>
      </c>
      <c r="E94" s="4" t="s">
        <v>13</v>
      </c>
      <c r="F94" s="4" t="s">
        <v>10</v>
      </c>
      <c r="G94" s="4" t="s">
        <v>21</v>
      </c>
      <c r="H94" s="8">
        <v>3367.67</v>
      </c>
      <c r="I94">
        <v>6</v>
      </c>
      <c r="J94" s="8">
        <v>443.24</v>
      </c>
      <c r="K94" t="str">
        <f>"Q"&amp;ROUNDUP(MONTH(Table13[[#This Row],[Date]])/3,0)</f>
        <v>Q1</v>
      </c>
    </row>
    <row r="95" spans="1:11" x14ac:dyDescent="0.35">
      <c r="A95" s="4" t="s">
        <v>113</v>
      </c>
      <c r="B95" s="6">
        <v>45325</v>
      </c>
      <c r="C95" s="6" t="str">
        <f>TEXT(Table13[[#This Row],[Date]],"MMM")</f>
        <v>Feb</v>
      </c>
      <c r="D95" s="6" t="str">
        <f>TEXT(Table13[[#This Row],[Date]],"YYYY")</f>
        <v>2024</v>
      </c>
      <c r="E95" s="4" t="s">
        <v>15</v>
      </c>
      <c r="F95" s="4" t="s">
        <v>16</v>
      </c>
      <c r="G95" s="4" t="s">
        <v>21</v>
      </c>
      <c r="H95" s="8">
        <v>8396.4500000000007</v>
      </c>
      <c r="I95">
        <v>10</v>
      </c>
      <c r="J95" s="8">
        <v>757.93</v>
      </c>
      <c r="K95" t="str">
        <f>"Q"&amp;ROUNDUP(MONTH(Table13[[#This Row],[Date]])/3,0)</f>
        <v>Q1</v>
      </c>
    </row>
    <row r="96" spans="1:11" x14ac:dyDescent="0.35">
      <c r="A96" s="4" t="s">
        <v>114</v>
      </c>
      <c r="B96" s="6">
        <v>45415</v>
      </c>
      <c r="C96" s="6" t="str">
        <f>TEXT(Table13[[#This Row],[Date]],"MMM")</f>
        <v>May</v>
      </c>
      <c r="D96" s="6" t="str">
        <f>TEXT(Table13[[#This Row],[Date]],"YYYY")</f>
        <v>2024</v>
      </c>
      <c r="E96" s="4" t="s">
        <v>25</v>
      </c>
      <c r="F96" s="4" t="s">
        <v>16</v>
      </c>
      <c r="G96" s="4" t="s">
        <v>21</v>
      </c>
      <c r="H96" s="8">
        <v>921.1</v>
      </c>
      <c r="I96">
        <v>1</v>
      </c>
      <c r="J96" s="8">
        <v>755.34</v>
      </c>
      <c r="K96" t="str">
        <f>"Q"&amp;ROUNDUP(MONTH(Table13[[#This Row],[Date]])/3,0)</f>
        <v>Q2</v>
      </c>
    </row>
    <row r="97" spans="1:11" x14ac:dyDescent="0.35">
      <c r="A97" s="4" t="s">
        <v>115</v>
      </c>
      <c r="B97" s="6">
        <v>45478</v>
      </c>
      <c r="C97" s="6" t="str">
        <f>TEXT(Table13[[#This Row],[Date]],"MMM")</f>
        <v>Jul</v>
      </c>
      <c r="D97" s="6" t="str">
        <f>TEXT(Table13[[#This Row],[Date]],"YYYY")</f>
        <v>2024</v>
      </c>
      <c r="E97" s="4" t="s">
        <v>18</v>
      </c>
      <c r="F97" s="4" t="s">
        <v>10</v>
      </c>
      <c r="G97" s="4" t="s">
        <v>21</v>
      </c>
      <c r="H97" s="8">
        <v>8455.77</v>
      </c>
      <c r="I97">
        <v>9</v>
      </c>
      <c r="J97" s="8">
        <v>643.9</v>
      </c>
      <c r="K97" t="str">
        <f>"Q"&amp;ROUNDUP(MONTH(Table13[[#This Row],[Date]])/3,0)</f>
        <v>Q3</v>
      </c>
    </row>
    <row r="98" spans="1:11" x14ac:dyDescent="0.35">
      <c r="A98" s="4" t="s">
        <v>116</v>
      </c>
      <c r="B98" s="6">
        <v>45206</v>
      </c>
      <c r="C98" s="6" t="str">
        <f>TEXT(Table13[[#This Row],[Date]],"MMM")</f>
        <v>Oct</v>
      </c>
      <c r="D98" s="6" t="str">
        <f>TEXT(Table13[[#This Row],[Date]],"YYYY")</f>
        <v>2023</v>
      </c>
      <c r="E98" s="4" t="s">
        <v>18</v>
      </c>
      <c r="F98" s="4" t="s">
        <v>10</v>
      </c>
      <c r="G98" s="4" t="s">
        <v>19</v>
      </c>
      <c r="H98" s="8">
        <v>3504.97</v>
      </c>
      <c r="I98">
        <v>7</v>
      </c>
      <c r="J98" s="8">
        <v>398.8</v>
      </c>
      <c r="K98" t="str">
        <f>"Q"&amp;ROUNDUP(MONTH(Table13[[#This Row],[Date]])/3,0)</f>
        <v>Q4</v>
      </c>
    </row>
    <row r="99" spans="1:11" x14ac:dyDescent="0.35">
      <c r="A99" s="4" t="s">
        <v>117</v>
      </c>
      <c r="B99" s="6">
        <v>45096</v>
      </c>
      <c r="C99" s="6" t="str">
        <f>TEXT(Table13[[#This Row],[Date]],"MMM")</f>
        <v>Jun</v>
      </c>
      <c r="D99" s="6" t="str">
        <f>TEXT(Table13[[#This Row],[Date]],"YYYY")</f>
        <v>2023</v>
      </c>
      <c r="E99" s="4" t="s">
        <v>9</v>
      </c>
      <c r="F99" s="4" t="s">
        <v>10</v>
      </c>
      <c r="G99" s="4" t="s">
        <v>21</v>
      </c>
      <c r="H99" s="8">
        <v>8801.4</v>
      </c>
      <c r="I99">
        <v>8</v>
      </c>
      <c r="J99" s="8">
        <v>737.24</v>
      </c>
      <c r="K99" t="str">
        <f>"Q"&amp;ROUNDUP(MONTH(Table13[[#This Row],[Date]])/3,0)</f>
        <v>Q2</v>
      </c>
    </row>
    <row r="100" spans="1:11" x14ac:dyDescent="0.35">
      <c r="A100" s="4" t="s">
        <v>118</v>
      </c>
      <c r="B100" s="6">
        <v>45330</v>
      </c>
      <c r="C100" s="6" t="str">
        <f>TEXT(Table13[[#This Row],[Date]],"MMM")</f>
        <v>Feb</v>
      </c>
      <c r="D100" s="6" t="str">
        <f>TEXT(Table13[[#This Row],[Date]],"YYYY")</f>
        <v>2024</v>
      </c>
      <c r="E100" s="4" t="s">
        <v>25</v>
      </c>
      <c r="F100" s="4" t="s">
        <v>16</v>
      </c>
      <c r="G100" s="4" t="s">
        <v>11</v>
      </c>
      <c r="H100" s="8">
        <v>5112.42</v>
      </c>
      <c r="I100">
        <v>10</v>
      </c>
      <c r="J100" s="8">
        <v>460.23</v>
      </c>
      <c r="K100" t="str">
        <f>"Q"&amp;ROUNDUP(MONTH(Table13[[#This Row],[Date]])/3,0)</f>
        <v>Q1</v>
      </c>
    </row>
    <row r="101" spans="1:11" x14ac:dyDescent="0.35">
      <c r="A101" s="4" t="s">
        <v>119</v>
      </c>
      <c r="B101" s="6">
        <v>45065</v>
      </c>
      <c r="C101" s="6" t="str">
        <f>TEXT(Table13[[#This Row],[Date]],"MMM")</f>
        <v>May</v>
      </c>
      <c r="D101" s="6" t="str">
        <f>TEXT(Table13[[#This Row],[Date]],"YYYY")</f>
        <v>2023</v>
      </c>
      <c r="E101" s="4" t="s">
        <v>9</v>
      </c>
      <c r="F101" s="4" t="s">
        <v>10</v>
      </c>
      <c r="G101" s="4" t="s">
        <v>21</v>
      </c>
      <c r="H101" s="8">
        <v>1558.06</v>
      </c>
      <c r="I101">
        <v>8</v>
      </c>
      <c r="J101" s="8">
        <v>161.75</v>
      </c>
      <c r="K101" t="str">
        <f>"Q"&amp;ROUNDUP(MONTH(Table13[[#This Row],[Date]])/3,0)</f>
        <v>Q2</v>
      </c>
    </row>
    <row r="102" spans="1:11" x14ac:dyDescent="0.35">
      <c r="A102" s="4" t="s">
        <v>120</v>
      </c>
      <c r="B102" s="6">
        <v>45392</v>
      </c>
      <c r="C102" s="6" t="str">
        <f>TEXT(Table13[[#This Row],[Date]],"MMM")</f>
        <v>Apr</v>
      </c>
      <c r="D102" s="6" t="str">
        <f>TEXT(Table13[[#This Row],[Date]],"YYYY")</f>
        <v>2024</v>
      </c>
      <c r="E102" s="4" t="s">
        <v>23</v>
      </c>
      <c r="F102" s="4" t="s">
        <v>16</v>
      </c>
      <c r="G102" s="4" t="s">
        <v>19</v>
      </c>
      <c r="H102" s="8">
        <v>2467.4299999999998</v>
      </c>
      <c r="I102">
        <v>6</v>
      </c>
      <c r="J102" s="8">
        <v>283.25</v>
      </c>
      <c r="K102" t="str">
        <f>"Q"&amp;ROUNDUP(MONTH(Table13[[#This Row],[Date]])/3,0)</f>
        <v>Q2</v>
      </c>
    </row>
    <row r="103" spans="1:11" x14ac:dyDescent="0.35">
      <c r="A103" s="4" t="s">
        <v>121</v>
      </c>
      <c r="B103" s="6">
        <v>45185</v>
      </c>
      <c r="C103" s="6" t="str">
        <f>TEXT(Table13[[#This Row],[Date]],"MMM")</f>
        <v>Sep</v>
      </c>
      <c r="D103" s="6" t="str">
        <f>TEXT(Table13[[#This Row],[Date]],"YYYY")</f>
        <v>2023</v>
      </c>
      <c r="E103" s="4" t="s">
        <v>23</v>
      </c>
      <c r="F103" s="4" t="s">
        <v>16</v>
      </c>
      <c r="G103" s="4" t="s">
        <v>21</v>
      </c>
      <c r="H103" s="8">
        <v>1082.8499999999999</v>
      </c>
      <c r="I103">
        <v>2</v>
      </c>
      <c r="J103" s="8">
        <v>386.84</v>
      </c>
      <c r="K103" t="str">
        <f>"Q"&amp;ROUNDUP(MONTH(Table13[[#This Row],[Date]])/3,0)</f>
        <v>Q3</v>
      </c>
    </row>
    <row r="104" spans="1:11" x14ac:dyDescent="0.35">
      <c r="A104" s="4" t="s">
        <v>122</v>
      </c>
      <c r="B104" s="6">
        <v>45156</v>
      </c>
      <c r="C104" s="6" t="str">
        <f>TEXT(Table13[[#This Row],[Date]],"MMM")</f>
        <v>Aug</v>
      </c>
      <c r="D104" s="6" t="str">
        <f>TEXT(Table13[[#This Row],[Date]],"YYYY")</f>
        <v>2023</v>
      </c>
      <c r="E104" s="4" t="s">
        <v>13</v>
      </c>
      <c r="F104" s="4" t="s">
        <v>10</v>
      </c>
      <c r="G104" s="4" t="s">
        <v>26</v>
      </c>
      <c r="H104" s="8">
        <v>1712.74</v>
      </c>
      <c r="I104">
        <v>2</v>
      </c>
      <c r="J104" s="8">
        <v>629.36</v>
      </c>
      <c r="K104" t="str">
        <f>"Q"&amp;ROUNDUP(MONTH(Table13[[#This Row],[Date]])/3,0)</f>
        <v>Q3</v>
      </c>
    </row>
    <row r="105" spans="1:11" x14ac:dyDescent="0.35">
      <c r="A105" s="4" t="s">
        <v>123</v>
      </c>
      <c r="B105" s="6">
        <v>45131</v>
      </c>
      <c r="C105" s="6" t="str">
        <f>TEXT(Table13[[#This Row],[Date]],"MMM")</f>
        <v>Jul</v>
      </c>
      <c r="D105" s="6" t="str">
        <f>TEXT(Table13[[#This Row],[Date]],"YYYY")</f>
        <v>2023</v>
      </c>
      <c r="E105" s="4" t="s">
        <v>13</v>
      </c>
      <c r="F105" s="4" t="s">
        <v>10</v>
      </c>
      <c r="G105" s="4" t="s">
        <v>19</v>
      </c>
      <c r="H105" s="8">
        <v>603.26</v>
      </c>
      <c r="I105">
        <v>1</v>
      </c>
      <c r="J105" s="8">
        <v>504.64</v>
      </c>
      <c r="K105" t="str">
        <f>"Q"&amp;ROUNDUP(MONTH(Table13[[#This Row],[Date]])/3,0)</f>
        <v>Q3</v>
      </c>
    </row>
    <row r="106" spans="1:11" x14ac:dyDescent="0.35">
      <c r="A106" s="4" t="s">
        <v>124</v>
      </c>
      <c r="B106" s="6">
        <v>45504</v>
      </c>
      <c r="C106" s="6" t="str">
        <f>TEXT(Table13[[#This Row],[Date]],"MMM")</f>
        <v>Jul</v>
      </c>
      <c r="D106" s="6" t="str">
        <f>TEXT(Table13[[#This Row],[Date]],"YYYY")</f>
        <v>2024</v>
      </c>
      <c r="E106" s="4" t="s">
        <v>18</v>
      </c>
      <c r="F106" s="4" t="s">
        <v>10</v>
      </c>
      <c r="G106" s="4" t="s">
        <v>11</v>
      </c>
      <c r="H106" s="8">
        <v>1840.93</v>
      </c>
      <c r="I106">
        <v>4</v>
      </c>
      <c r="J106" s="8">
        <v>382.73</v>
      </c>
      <c r="K106" t="str">
        <f>"Q"&amp;ROUNDUP(MONTH(Table13[[#This Row],[Date]])/3,0)</f>
        <v>Q3</v>
      </c>
    </row>
    <row r="107" spans="1:11" x14ac:dyDescent="0.35">
      <c r="A107" s="4" t="s">
        <v>125</v>
      </c>
      <c r="B107" s="6">
        <v>45547</v>
      </c>
      <c r="C107" s="6" t="str">
        <f>TEXT(Table13[[#This Row],[Date]],"MMM")</f>
        <v>Sep</v>
      </c>
      <c r="D107" s="6" t="str">
        <f>TEXT(Table13[[#This Row],[Date]],"YYYY")</f>
        <v>2024</v>
      </c>
      <c r="E107" s="4" t="s">
        <v>23</v>
      </c>
      <c r="F107" s="4" t="s">
        <v>16</v>
      </c>
      <c r="G107" s="4" t="s">
        <v>19</v>
      </c>
      <c r="H107" s="8">
        <v>10706.26</v>
      </c>
      <c r="I107">
        <v>10</v>
      </c>
      <c r="J107" s="8">
        <v>771.71</v>
      </c>
      <c r="K107" t="str">
        <f>"Q"&amp;ROUNDUP(MONTH(Table13[[#This Row],[Date]])/3,0)</f>
        <v>Q3</v>
      </c>
    </row>
    <row r="108" spans="1:11" x14ac:dyDescent="0.35">
      <c r="A108" s="4" t="s">
        <v>126</v>
      </c>
      <c r="B108" s="6">
        <v>45037</v>
      </c>
      <c r="C108" s="6" t="str">
        <f>TEXT(Table13[[#This Row],[Date]],"MMM")</f>
        <v>Apr</v>
      </c>
      <c r="D108" s="6" t="str">
        <f>TEXT(Table13[[#This Row],[Date]],"YYYY")</f>
        <v>2023</v>
      </c>
      <c r="E108" s="4" t="s">
        <v>15</v>
      </c>
      <c r="F108" s="4" t="s">
        <v>16</v>
      </c>
      <c r="G108" s="4" t="s">
        <v>26</v>
      </c>
      <c r="H108" s="8">
        <v>490.28</v>
      </c>
      <c r="I108">
        <v>10</v>
      </c>
      <c r="J108" s="8">
        <v>40.03</v>
      </c>
      <c r="K108" t="str">
        <f>"Q"&amp;ROUNDUP(MONTH(Table13[[#This Row],[Date]])/3,0)</f>
        <v>Q2</v>
      </c>
    </row>
    <row r="109" spans="1:11" x14ac:dyDescent="0.35">
      <c r="A109" s="4" t="s">
        <v>127</v>
      </c>
      <c r="B109" s="6">
        <v>45333</v>
      </c>
      <c r="C109" s="6" t="str">
        <f>TEXT(Table13[[#This Row],[Date]],"MMM")</f>
        <v>Feb</v>
      </c>
      <c r="D109" s="6" t="str">
        <f>TEXT(Table13[[#This Row],[Date]],"YYYY")</f>
        <v>2024</v>
      </c>
      <c r="E109" s="4" t="s">
        <v>9</v>
      </c>
      <c r="F109" s="4" t="s">
        <v>10</v>
      </c>
      <c r="G109" s="4" t="s">
        <v>21</v>
      </c>
      <c r="H109" s="8">
        <v>436.44</v>
      </c>
      <c r="I109">
        <v>4</v>
      </c>
      <c r="J109" s="8">
        <v>79.28</v>
      </c>
      <c r="K109" t="str">
        <f>"Q"&amp;ROUNDUP(MONTH(Table13[[#This Row],[Date]])/3,0)</f>
        <v>Q1</v>
      </c>
    </row>
    <row r="110" spans="1:11" x14ac:dyDescent="0.35">
      <c r="A110" s="4" t="s">
        <v>128</v>
      </c>
      <c r="B110" s="6">
        <v>45031</v>
      </c>
      <c r="C110" s="6" t="str">
        <f>TEXT(Table13[[#This Row],[Date]],"MMM")</f>
        <v>Apr</v>
      </c>
      <c r="D110" s="6" t="str">
        <f>TEXT(Table13[[#This Row],[Date]],"YYYY")</f>
        <v>2023</v>
      </c>
      <c r="E110" s="4" t="s">
        <v>9</v>
      </c>
      <c r="F110" s="4" t="s">
        <v>10</v>
      </c>
      <c r="G110" s="4" t="s">
        <v>19</v>
      </c>
      <c r="H110" s="8">
        <v>4578.2</v>
      </c>
      <c r="I110">
        <v>5</v>
      </c>
      <c r="J110" s="8">
        <v>683.23</v>
      </c>
      <c r="K110" t="str">
        <f>"Q"&amp;ROUNDUP(MONTH(Table13[[#This Row],[Date]])/3,0)</f>
        <v>Q2</v>
      </c>
    </row>
    <row r="111" spans="1:11" x14ac:dyDescent="0.35">
      <c r="A111" s="4" t="s">
        <v>129</v>
      </c>
      <c r="B111" s="6">
        <v>45282</v>
      </c>
      <c r="C111" s="6" t="str">
        <f>TEXT(Table13[[#This Row],[Date]],"MMM")</f>
        <v>Dec</v>
      </c>
      <c r="D111" s="6" t="str">
        <f>TEXT(Table13[[#This Row],[Date]],"YYYY")</f>
        <v>2023</v>
      </c>
      <c r="E111" s="4" t="s">
        <v>13</v>
      </c>
      <c r="F111" s="4" t="s">
        <v>10</v>
      </c>
      <c r="G111" s="4" t="s">
        <v>11</v>
      </c>
      <c r="H111" s="8">
        <v>3978.32</v>
      </c>
      <c r="I111">
        <v>9</v>
      </c>
      <c r="J111" s="8">
        <v>354.13</v>
      </c>
      <c r="K111" t="str">
        <f>"Q"&amp;ROUNDUP(MONTH(Table13[[#This Row],[Date]])/3,0)</f>
        <v>Q4</v>
      </c>
    </row>
    <row r="112" spans="1:11" x14ac:dyDescent="0.35">
      <c r="A112" s="4" t="s">
        <v>130</v>
      </c>
      <c r="B112" s="6">
        <v>44939</v>
      </c>
      <c r="C112" s="6" t="str">
        <f>TEXT(Table13[[#This Row],[Date]],"MMM")</f>
        <v>Jan</v>
      </c>
      <c r="D112" s="6" t="str">
        <f>TEXT(Table13[[#This Row],[Date]],"YYYY")</f>
        <v>2023</v>
      </c>
      <c r="E112" s="4" t="s">
        <v>25</v>
      </c>
      <c r="F112" s="4" t="s">
        <v>16</v>
      </c>
      <c r="G112" s="4" t="s">
        <v>26</v>
      </c>
      <c r="H112" s="8">
        <v>5288.39</v>
      </c>
      <c r="I112">
        <v>7</v>
      </c>
      <c r="J112" s="8">
        <v>661.42</v>
      </c>
      <c r="K112" t="str">
        <f>"Q"&amp;ROUNDUP(MONTH(Table13[[#This Row],[Date]])/3,0)</f>
        <v>Q1</v>
      </c>
    </row>
    <row r="113" spans="1:11" x14ac:dyDescent="0.35">
      <c r="A113" s="4" t="s">
        <v>131</v>
      </c>
      <c r="B113" s="6">
        <v>45651</v>
      </c>
      <c r="C113" s="6" t="str">
        <f>TEXT(Table13[[#This Row],[Date]],"MMM")</f>
        <v>Dec</v>
      </c>
      <c r="D113" s="6" t="str">
        <f>TEXT(Table13[[#This Row],[Date]],"YYYY")</f>
        <v>2024</v>
      </c>
      <c r="E113" s="4" t="s">
        <v>23</v>
      </c>
      <c r="F113" s="4" t="s">
        <v>16</v>
      </c>
      <c r="G113" s="4" t="s">
        <v>21</v>
      </c>
      <c r="H113" s="8">
        <v>1503.66</v>
      </c>
      <c r="I113">
        <v>3</v>
      </c>
      <c r="J113" s="8">
        <v>359.68</v>
      </c>
      <c r="K113" t="str">
        <f>"Q"&amp;ROUNDUP(MONTH(Table13[[#This Row],[Date]])/3,0)</f>
        <v>Q4</v>
      </c>
    </row>
    <row r="114" spans="1:11" x14ac:dyDescent="0.35">
      <c r="A114" s="4" t="s">
        <v>132</v>
      </c>
      <c r="B114" s="6">
        <v>45557</v>
      </c>
      <c r="C114" s="6" t="str">
        <f>TEXT(Table13[[#This Row],[Date]],"MMM")</f>
        <v>Sep</v>
      </c>
      <c r="D114" s="6" t="str">
        <f>TEXT(Table13[[#This Row],[Date]],"YYYY")</f>
        <v>2024</v>
      </c>
      <c r="E114" s="4" t="s">
        <v>9</v>
      </c>
      <c r="F114" s="4" t="s">
        <v>10</v>
      </c>
      <c r="G114" s="4" t="s">
        <v>26</v>
      </c>
      <c r="H114" s="8">
        <v>7224.44</v>
      </c>
      <c r="I114">
        <v>9</v>
      </c>
      <c r="J114" s="8">
        <v>624.22</v>
      </c>
      <c r="K114" t="str">
        <f>"Q"&amp;ROUNDUP(MONTH(Table13[[#This Row],[Date]])/3,0)</f>
        <v>Q3</v>
      </c>
    </row>
    <row r="115" spans="1:11" x14ac:dyDescent="0.35">
      <c r="A115" s="4" t="s">
        <v>133</v>
      </c>
      <c r="B115" s="6">
        <v>45257</v>
      </c>
      <c r="C115" s="6" t="str">
        <f>TEXT(Table13[[#This Row],[Date]],"MMM")</f>
        <v>Nov</v>
      </c>
      <c r="D115" s="6" t="str">
        <f>TEXT(Table13[[#This Row],[Date]],"YYYY")</f>
        <v>2023</v>
      </c>
      <c r="E115" s="4" t="s">
        <v>9</v>
      </c>
      <c r="F115" s="4" t="s">
        <v>10</v>
      </c>
      <c r="G115" s="4" t="s">
        <v>26</v>
      </c>
      <c r="H115" s="8">
        <v>3031.69</v>
      </c>
      <c r="I115">
        <v>4</v>
      </c>
      <c r="J115" s="8">
        <v>667.97</v>
      </c>
      <c r="K115" t="str">
        <f>"Q"&amp;ROUNDUP(MONTH(Table13[[#This Row],[Date]])/3,0)</f>
        <v>Q4</v>
      </c>
    </row>
    <row r="116" spans="1:11" x14ac:dyDescent="0.35">
      <c r="A116" s="4" t="s">
        <v>134</v>
      </c>
      <c r="B116" s="6">
        <v>45402</v>
      </c>
      <c r="C116" s="6" t="str">
        <f>TEXT(Table13[[#This Row],[Date]],"MMM")</f>
        <v>Apr</v>
      </c>
      <c r="D116" s="6" t="str">
        <f>TEXT(Table13[[#This Row],[Date]],"YYYY")</f>
        <v>2024</v>
      </c>
      <c r="E116" s="4" t="s">
        <v>18</v>
      </c>
      <c r="F116" s="4" t="s">
        <v>10</v>
      </c>
      <c r="G116" s="4" t="s">
        <v>19</v>
      </c>
      <c r="H116" s="8">
        <v>6208.67</v>
      </c>
      <c r="I116">
        <v>10</v>
      </c>
      <c r="J116" s="8">
        <v>496.06</v>
      </c>
      <c r="K116" t="str">
        <f>"Q"&amp;ROUNDUP(MONTH(Table13[[#This Row],[Date]])/3,0)</f>
        <v>Q2</v>
      </c>
    </row>
    <row r="117" spans="1:11" x14ac:dyDescent="0.35">
      <c r="A117" s="4" t="s">
        <v>135</v>
      </c>
      <c r="B117" s="6">
        <v>45259</v>
      </c>
      <c r="C117" s="6" t="str">
        <f>TEXT(Table13[[#This Row],[Date]],"MMM")</f>
        <v>Nov</v>
      </c>
      <c r="D117" s="6" t="str">
        <f>TEXT(Table13[[#This Row],[Date]],"YYYY")</f>
        <v>2023</v>
      </c>
      <c r="E117" s="4" t="s">
        <v>13</v>
      </c>
      <c r="F117" s="4" t="s">
        <v>10</v>
      </c>
      <c r="G117" s="4" t="s">
        <v>21</v>
      </c>
      <c r="H117" s="8">
        <v>1491.4</v>
      </c>
      <c r="I117">
        <v>3</v>
      </c>
      <c r="J117" s="8">
        <v>400.29</v>
      </c>
      <c r="K117" t="str">
        <f>"Q"&amp;ROUNDUP(MONTH(Table13[[#This Row],[Date]])/3,0)</f>
        <v>Q4</v>
      </c>
    </row>
    <row r="118" spans="1:11" x14ac:dyDescent="0.35">
      <c r="A118" s="4" t="s">
        <v>136</v>
      </c>
      <c r="B118" s="6">
        <v>45213</v>
      </c>
      <c r="C118" s="6" t="str">
        <f>TEXT(Table13[[#This Row],[Date]],"MMM")</f>
        <v>Oct</v>
      </c>
      <c r="D118" s="6" t="str">
        <f>TEXT(Table13[[#This Row],[Date]],"YYYY")</f>
        <v>2023</v>
      </c>
      <c r="E118" s="4" t="s">
        <v>23</v>
      </c>
      <c r="F118" s="4" t="s">
        <v>16</v>
      </c>
      <c r="G118" s="4" t="s">
        <v>26</v>
      </c>
      <c r="H118" s="8">
        <v>6862.61</v>
      </c>
      <c r="I118">
        <v>10</v>
      </c>
      <c r="J118" s="8">
        <v>566.91999999999996</v>
      </c>
      <c r="K118" t="str">
        <f>"Q"&amp;ROUNDUP(MONTH(Table13[[#This Row],[Date]])/3,0)</f>
        <v>Q4</v>
      </c>
    </row>
    <row r="119" spans="1:11" x14ac:dyDescent="0.35">
      <c r="A119" s="4" t="s">
        <v>137</v>
      </c>
      <c r="B119" s="6">
        <v>45014</v>
      </c>
      <c r="C119" s="6" t="str">
        <f>TEXT(Table13[[#This Row],[Date]],"MMM")</f>
        <v>Mar</v>
      </c>
      <c r="D119" s="6" t="str">
        <f>TEXT(Table13[[#This Row],[Date]],"YYYY")</f>
        <v>2023</v>
      </c>
      <c r="E119" s="4" t="s">
        <v>13</v>
      </c>
      <c r="F119" s="4" t="s">
        <v>10</v>
      </c>
      <c r="G119" s="4" t="s">
        <v>19</v>
      </c>
      <c r="H119" s="8">
        <v>3014</v>
      </c>
      <c r="I119">
        <v>4</v>
      </c>
      <c r="J119" s="8">
        <v>581.66</v>
      </c>
      <c r="K119" t="str">
        <f>"Q"&amp;ROUNDUP(MONTH(Table13[[#This Row],[Date]])/3,0)</f>
        <v>Q1</v>
      </c>
    </row>
    <row r="120" spans="1:11" x14ac:dyDescent="0.35">
      <c r="A120" s="4" t="s">
        <v>138</v>
      </c>
      <c r="B120" s="6">
        <v>45588</v>
      </c>
      <c r="C120" s="6" t="str">
        <f>TEXT(Table13[[#This Row],[Date]],"MMM")</f>
        <v>Oct</v>
      </c>
      <c r="D120" s="6" t="str">
        <f>TEXT(Table13[[#This Row],[Date]],"YYYY")</f>
        <v>2024</v>
      </c>
      <c r="E120" s="4" t="s">
        <v>15</v>
      </c>
      <c r="F120" s="4" t="s">
        <v>16</v>
      </c>
      <c r="G120" s="4" t="s">
        <v>21</v>
      </c>
      <c r="H120" s="8">
        <v>3272.7</v>
      </c>
      <c r="I120">
        <v>8</v>
      </c>
      <c r="J120" s="8">
        <v>369.58</v>
      </c>
      <c r="K120" t="str">
        <f>"Q"&amp;ROUNDUP(MONTH(Table13[[#This Row],[Date]])/3,0)</f>
        <v>Q4</v>
      </c>
    </row>
    <row r="121" spans="1:11" x14ac:dyDescent="0.35">
      <c r="A121" s="4" t="s">
        <v>139</v>
      </c>
      <c r="B121" s="6">
        <v>45341</v>
      </c>
      <c r="C121" s="6" t="str">
        <f>TEXT(Table13[[#This Row],[Date]],"MMM")</f>
        <v>Feb</v>
      </c>
      <c r="D121" s="6" t="str">
        <f>TEXT(Table13[[#This Row],[Date]],"YYYY")</f>
        <v>2024</v>
      </c>
      <c r="E121" s="4" t="s">
        <v>23</v>
      </c>
      <c r="F121" s="4" t="s">
        <v>16</v>
      </c>
      <c r="G121" s="4" t="s">
        <v>19</v>
      </c>
      <c r="H121" s="8">
        <v>1379.74</v>
      </c>
      <c r="I121">
        <v>4</v>
      </c>
      <c r="J121" s="8">
        <v>258.83999999999997</v>
      </c>
      <c r="K121" t="str">
        <f>"Q"&amp;ROUNDUP(MONTH(Table13[[#This Row],[Date]])/3,0)</f>
        <v>Q1</v>
      </c>
    </row>
    <row r="122" spans="1:11" x14ac:dyDescent="0.35">
      <c r="A122" s="4" t="s">
        <v>140</v>
      </c>
      <c r="B122" s="6">
        <v>45362</v>
      </c>
      <c r="C122" s="6" t="str">
        <f>TEXT(Table13[[#This Row],[Date]],"MMM")</f>
        <v>Mar</v>
      </c>
      <c r="D122" s="6" t="str">
        <f>TEXT(Table13[[#This Row],[Date]],"YYYY")</f>
        <v>2024</v>
      </c>
      <c r="E122" s="4" t="s">
        <v>18</v>
      </c>
      <c r="F122" s="4" t="s">
        <v>10</v>
      </c>
      <c r="G122" s="4" t="s">
        <v>26</v>
      </c>
      <c r="H122" s="8">
        <v>3455.87</v>
      </c>
      <c r="I122">
        <v>9</v>
      </c>
      <c r="J122" s="8">
        <v>278.02</v>
      </c>
      <c r="K122" t="str">
        <f>"Q"&amp;ROUNDUP(MONTH(Table13[[#This Row],[Date]])/3,0)</f>
        <v>Q1</v>
      </c>
    </row>
    <row r="123" spans="1:11" x14ac:dyDescent="0.35">
      <c r="A123" s="4" t="s">
        <v>141</v>
      </c>
      <c r="B123" s="6">
        <v>45184</v>
      </c>
      <c r="C123" s="6" t="str">
        <f>TEXT(Table13[[#This Row],[Date]],"MMM")</f>
        <v>Sep</v>
      </c>
      <c r="D123" s="6" t="str">
        <f>TEXT(Table13[[#This Row],[Date]],"YYYY")</f>
        <v>2023</v>
      </c>
      <c r="E123" s="4" t="s">
        <v>23</v>
      </c>
      <c r="F123" s="4" t="s">
        <v>16</v>
      </c>
      <c r="G123" s="4" t="s">
        <v>26</v>
      </c>
      <c r="H123" s="8">
        <v>537.25</v>
      </c>
      <c r="I123">
        <v>4</v>
      </c>
      <c r="J123" s="8">
        <v>114.11</v>
      </c>
      <c r="K123" t="str">
        <f>"Q"&amp;ROUNDUP(MONTH(Table13[[#This Row],[Date]])/3,0)</f>
        <v>Q3</v>
      </c>
    </row>
    <row r="124" spans="1:11" x14ac:dyDescent="0.35">
      <c r="A124" s="4" t="s">
        <v>142</v>
      </c>
      <c r="B124" s="6">
        <v>45123</v>
      </c>
      <c r="C124" s="6" t="str">
        <f>TEXT(Table13[[#This Row],[Date]],"MMM")</f>
        <v>Jul</v>
      </c>
      <c r="D124" s="6" t="str">
        <f>TEXT(Table13[[#This Row],[Date]],"YYYY")</f>
        <v>2023</v>
      </c>
      <c r="E124" s="4" t="s">
        <v>13</v>
      </c>
      <c r="F124" s="4" t="s">
        <v>10</v>
      </c>
      <c r="G124" s="4" t="s">
        <v>19</v>
      </c>
      <c r="H124" s="8">
        <v>2886.6</v>
      </c>
      <c r="I124">
        <v>4</v>
      </c>
      <c r="J124" s="8">
        <v>596.11</v>
      </c>
      <c r="K124" t="str">
        <f>"Q"&amp;ROUNDUP(MONTH(Table13[[#This Row],[Date]])/3,0)</f>
        <v>Q3</v>
      </c>
    </row>
    <row r="125" spans="1:11" x14ac:dyDescent="0.35">
      <c r="A125" s="4" t="s">
        <v>143</v>
      </c>
      <c r="B125" s="6">
        <v>45029</v>
      </c>
      <c r="C125" s="6" t="str">
        <f>TEXT(Table13[[#This Row],[Date]],"MMM")</f>
        <v>Apr</v>
      </c>
      <c r="D125" s="6" t="str">
        <f>TEXT(Table13[[#This Row],[Date]],"YYYY")</f>
        <v>2023</v>
      </c>
      <c r="E125" s="4" t="s">
        <v>25</v>
      </c>
      <c r="F125" s="4" t="s">
        <v>16</v>
      </c>
      <c r="G125" s="4" t="s">
        <v>26</v>
      </c>
      <c r="H125" s="8">
        <v>1249.68</v>
      </c>
      <c r="I125">
        <v>4</v>
      </c>
      <c r="J125" s="8">
        <v>251.07</v>
      </c>
      <c r="K125" t="str">
        <f>"Q"&amp;ROUNDUP(MONTH(Table13[[#This Row],[Date]])/3,0)</f>
        <v>Q2</v>
      </c>
    </row>
    <row r="126" spans="1:11" x14ac:dyDescent="0.35">
      <c r="A126" s="4" t="s">
        <v>144</v>
      </c>
      <c r="B126" s="6">
        <v>45652</v>
      </c>
      <c r="C126" s="6" t="str">
        <f>TEXT(Table13[[#This Row],[Date]],"MMM")</f>
        <v>Dec</v>
      </c>
      <c r="D126" s="6" t="str">
        <f>TEXT(Table13[[#This Row],[Date]],"YYYY")</f>
        <v>2024</v>
      </c>
      <c r="E126" s="4" t="s">
        <v>23</v>
      </c>
      <c r="F126" s="4" t="s">
        <v>16</v>
      </c>
      <c r="G126" s="4" t="s">
        <v>11</v>
      </c>
      <c r="H126" s="8">
        <v>1194.8800000000001</v>
      </c>
      <c r="I126">
        <v>9</v>
      </c>
      <c r="J126" s="8">
        <v>118.73</v>
      </c>
      <c r="K126" t="str">
        <f>"Q"&amp;ROUNDUP(MONTH(Table13[[#This Row],[Date]])/3,0)</f>
        <v>Q4</v>
      </c>
    </row>
    <row r="127" spans="1:11" x14ac:dyDescent="0.35">
      <c r="A127" s="4" t="s">
        <v>145</v>
      </c>
      <c r="B127" s="6">
        <v>45641</v>
      </c>
      <c r="C127" s="6" t="str">
        <f>TEXT(Table13[[#This Row],[Date]],"MMM")</f>
        <v>Dec</v>
      </c>
      <c r="D127" s="6" t="str">
        <f>TEXT(Table13[[#This Row],[Date]],"YYYY")</f>
        <v>2024</v>
      </c>
      <c r="E127" s="4" t="s">
        <v>13</v>
      </c>
      <c r="F127" s="4" t="s">
        <v>10</v>
      </c>
      <c r="G127" s="4" t="s">
        <v>26</v>
      </c>
      <c r="H127" s="8">
        <v>2175.4</v>
      </c>
      <c r="I127">
        <v>3</v>
      </c>
      <c r="J127" s="8">
        <v>517.54</v>
      </c>
      <c r="K127" t="str">
        <f>"Q"&amp;ROUNDUP(MONTH(Table13[[#This Row],[Date]])/3,0)</f>
        <v>Q4</v>
      </c>
    </row>
    <row r="128" spans="1:11" x14ac:dyDescent="0.35">
      <c r="A128" s="4" t="s">
        <v>146</v>
      </c>
      <c r="B128" s="6">
        <v>45514</v>
      </c>
      <c r="C128" s="6" t="str">
        <f>TEXT(Table13[[#This Row],[Date]],"MMM")</f>
        <v>Aug</v>
      </c>
      <c r="D128" s="6" t="str">
        <f>TEXT(Table13[[#This Row],[Date]],"YYYY")</f>
        <v>2024</v>
      </c>
      <c r="E128" s="4" t="s">
        <v>13</v>
      </c>
      <c r="F128" s="4" t="s">
        <v>10</v>
      </c>
      <c r="G128" s="4" t="s">
        <v>11</v>
      </c>
      <c r="H128" s="8">
        <v>2463.87</v>
      </c>
      <c r="I128">
        <v>5</v>
      </c>
      <c r="J128" s="8">
        <v>386.13</v>
      </c>
      <c r="K128" t="str">
        <f>"Q"&amp;ROUNDUP(MONTH(Table13[[#This Row],[Date]])/3,0)</f>
        <v>Q3</v>
      </c>
    </row>
    <row r="129" spans="1:11" x14ac:dyDescent="0.35">
      <c r="A129" s="4" t="s">
        <v>147</v>
      </c>
      <c r="B129" s="6">
        <v>45185</v>
      </c>
      <c r="C129" s="6" t="str">
        <f>TEXT(Table13[[#This Row],[Date]],"MMM")</f>
        <v>Sep</v>
      </c>
      <c r="D129" s="6" t="str">
        <f>TEXT(Table13[[#This Row],[Date]],"YYYY")</f>
        <v>2023</v>
      </c>
      <c r="E129" s="4" t="s">
        <v>15</v>
      </c>
      <c r="F129" s="4" t="s">
        <v>16</v>
      </c>
      <c r="G129" s="4" t="s">
        <v>11</v>
      </c>
      <c r="H129" s="8">
        <v>981.9</v>
      </c>
      <c r="I129">
        <v>8</v>
      </c>
      <c r="J129" s="8">
        <v>108.99</v>
      </c>
      <c r="K129" t="str">
        <f>"Q"&amp;ROUNDUP(MONTH(Table13[[#This Row],[Date]])/3,0)</f>
        <v>Q3</v>
      </c>
    </row>
    <row r="130" spans="1:11" x14ac:dyDescent="0.35">
      <c r="A130" s="4" t="s">
        <v>148</v>
      </c>
      <c r="B130" s="6">
        <v>45517</v>
      </c>
      <c r="C130" s="6" t="str">
        <f>TEXT(Table13[[#This Row],[Date]],"MMM")</f>
        <v>Aug</v>
      </c>
      <c r="D130" s="6" t="str">
        <f>TEXT(Table13[[#This Row],[Date]],"YYYY")</f>
        <v>2024</v>
      </c>
      <c r="E130" s="4" t="s">
        <v>18</v>
      </c>
      <c r="F130" s="4" t="s">
        <v>10</v>
      </c>
      <c r="G130" s="4" t="s">
        <v>11</v>
      </c>
      <c r="H130" s="8">
        <v>197.07</v>
      </c>
      <c r="I130">
        <v>1</v>
      </c>
      <c r="J130" s="8">
        <v>138.35</v>
      </c>
      <c r="K130" t="str">
        <f>"Q"&amp;ROUNDUP(MONTH(Table13[[#This Row],[Date]])/3,0)</f>
        <v>Q3</v>
      </c>
    </row>
    <row r="131" spans="1:11" x14ac:dyDescent="0.35">
      <c r="A131" s="4" t="s">
        <v>149</v>
      </c>
      <c r="B131" s="6">
        <v>45181</v>
      </c>
      <c r="C131" s="6" t="str">
        <f>TEXT(Table13[[#This Row],[Date]],"MMM")</f>
        <v>Sep</v>
      </c>
      <c r="D131" s="6" t="str">
        <f>TEXT(Table13[[#This Row],[Date]],"YYYY")</f>
        <v>2023</v>
      </c>
      <c r="E131" s="4" t="s">
        <v>23</v>
      </c>
      <c r="F131" s="4" t="s">
        <v>16</v>
      </c>
      <c r="G131" s="4" t="s">
        <v>11</v>
      </c>
      <c r="H131" s="8">
        <v>1153.25</v>
      </c>
      <c r="I131">
        <v>2</v>
      </c>
      <c r="J131" s="8">
        <v>455.3</v>
      </c>
      <c r="K131" t="str">
        <f>"Q"&amp;ROUNDUP(MONTH(Table13[[#This Row],[Date]])/3,0)</f>
        <v>Q3</v>
      </c>
    </row>
    <row r="132" spans="1:11" x14ac:dyDescent="0.35">
      <c r="A132" s="4" t="s">
        <v>150</v>
      </c>
      <c r="B132" s="6">
        <v>45462</v>
      </c>
      <c r="C132" s="6" t="str">
        <f>TEXT(Table13[[#This Row],[Date]],"MMM")</f>
        <v>Jun</v>
      </c>
      <c r="D132" s="6" t="str">
        <f>TEXT(Table13[[#This Row],[Date]],"YYYY")</f>
        <v>2024</v>
      </c>
      <c r="E132" s="4" t="s">
        <v>25</v>
      </c>
      <c r="F132" s="4" t="s">
        <v>16</v>
      </c>
      <c r="G132" s="4" t="s">
        <v>19</v>
      </c>
      <c r="H132" s="8">
        <v>3320.17</v>
      </c>
      <c r="I132">
        <v>7</v>
      </c>
      <c r="J132" s="8">
        <v>371.4</v>
      </c>
      <c r="K132" t="str">
        <f>"Q"&amp;ROUNDUP(MONTH(Table13[[#This Row],[Date]])/3,0)</f>
        <v>Q2</v>
      </c>
    </row>
    <row r="133" spans="1:11" x14ac:dyDescent="0.35">
      <c r="A133" s="4" t="s">
        <v>151</v>
      </c>
      <c r="B133" s="6">
        <v>45239</v>
      </c>
      <c r="C133" s="6" t="str">
        <f>TEXT(Table13[[#This Row],[Date]],"MMM")</f>
        <v>Nov</v>
      </c>
      <c r="D133" s="6" t="str">
        <f>TEXT(Table13[[#This Row],[Date]],"YYYY")</f>
        <v>2023</v>
      </c>
      <c r="E133" s="4" t="s">
        <v>25</v>
      </c>
      <c r="F133" s="4" t="s">
        <v>16</v>
      </c>
      <c r="G133" s="4" t="s">
        <v>21</v>
      </c>
      <c r="H133" s="8">
        <v>6778.39</v>
      </c>
      <c r="I133">
        <v>10</v>
      </c>
      <c r="J133" s="8">
        <v>504.4</v>
      </c>
      <c r="K133" t="str">
        <f>"Q"&amp;ROUNDUP(MONTH(Table13[[#This Row],[Date]])/3,0)</f>
        <v>Q4</v>
      </c>
    </row>
    <row r="134" spans="1:11" x14ac:dyDescent="0.35">
      <c r="A134" s="4" t="s">
        <v>152</v>
      </c>
      <c r="B134" s="6">
        <v>45139</v>
      </c>
      <c r="C134" s="6" t="str">
        <f>TEXT(Table13[[#This Row],[Date]],"MMM")</f>
        <v>Aug</v>
      </c>
      <c r="D134" s="6" t="str">
        <f>TEXT(Table13[[#This Row],[Date]],"YYYY")</f>
        <v>2023</v>
      </c>
      <c r="E134" s="4" t="s">
        <v>9</v>
      </c>
      <c r="F134" s="4" t="s">
        <v>10</v>
      </c>
      <c r="G134" s="4" t="s">
        <v>11</v>
      </c>
      <c r="H134" s="8">
        <v>1025.6600000000001</v>
      </c>
      <c r="I134">
        <v>4</v>
      </c>
      <c r="J134" s="8">
        <v>226.42</v>
      </c>
      <c r="K134" t="str">
        <f>"Q"&amp;ROUNDUP(MONTH(Table13[[#This Row],[Date]])/3,0)</f>
        <v>Q3</v>
      </c>
    </row>
    <row r="135" spans="1:11" x14ac:dyDescent="0.35">
      <c r="A135" s="4" t="s">
        <v>153</v>
      </c>
      <c r="B135" s="6">
        <v>45492</v>
      </c>
      <c r="C135" s="6" t="str">
        <f>TEXT(Table13[[#This Row],[Date]],"MMM")</f>
        <v>Jul</v>
      </c>
      <c r="D135" s="6" t="str">
        <f>TEXT(Table13[[#This Row],[Date]],"YYYY")</f>
        <v>2024</v>
      </c>
      <c r="E135" s="4" t="s">
        <v>15</v>
      </c>
      <c r="F135" s="4" t="s">
        <v>16</v>
      </c>
      <c r="G135" s="4" t="s">
        <v>19</v>
      </c>
      <c r="H135" s="8">
        <v>359.06</v>
      </c>
      <c r="I135">
        <v>2</v>
      </c>
      <c r="J135" s="8">
        <v>142.1</v>
      </c>
      <c r="K135" t="str">
        <f>"Q"&amp;ROUNDUP(MONTH(Table13[[#This Row],[Date]])/3,0)</f>
        <v>Q3</v>
      </c>
    </row>
    <row r="136" spans="1:11" x14ac:dyDescent="0.35">
      <c r="A136" s="4" t="s">
        <v>154</v>
      </c>
      <c r="B136" s="6">
        <v>45225</v>
      </c>
      <c r="C136" s="6" t="str">
        <f>TEXT(Table13[[#This Row],[Date]],"MMM")</f>
        <v>Oct</v>
      </c>
      <c r="D136" s="6" t="str">
        <f>TEXT(Table13[[#This Row],[Date]],"YYYY")</f>
        <v>2023</v>
      </c>
      <c r="E136" s="4" t="s">
        <v>9</v>
      </c>
      <c r="F136" s="4" t="s">
        <v>10</v>
      </c>
      <c r="G136" s="4" t="s">
        <v>21</v>
      </c>
      <c r="H136" s="8">
        <v>277.32</v>
      </c>
      <c r="I136">
        <v>1</v>
      </c>
      <c r="J136" s="8">
        <v>200.55</v>
      </c>
      <c r="K136" t="str">
        <f>"Q"&amp;ROUNDUP(MONTH(Table13[[#This Row],[Date]])/3,0)</f>
        <v>Q4</v>
      </c>
    </row>
    <row r="137" spans="1:11" x14ac:dyDescent="0.35">
      <c r="A137" s="4" t="s">
        <v>155</v>
      </c>
      <c r="B137" s="6">
        <v>44999</v>
      </c>
      <c r="C137" s="6" t="str">
        <f>TEXT(Table13[[#This Row],[Date]],"MMM")</f>
        <v>Mar</v>
      </c>
      <c r="D137" s="6" t="str">
        <f>TEXT(Table13[[#This Row],[Date]],"YYYY")</f>
        <v>2023</v>
      </c>
      <c r="E137" s="4" t="s">
        <v>9</v>
      </c>
      <c r="F137" s="4" t="s">
        <v>10</v>
      </c>
      <c r="G137" s="4" t="s">
        <v>21</v>
      </c>
      <c r="H137" s="8">
        <v>4192.47</v>
      </c>
      <c r="I137">
        <v>4</v>
      </c>
      <c r="J137" s="8">
        <v>740.65</v>
      </c>
      <c r="K137" t="str">
        <f>"Q"&amp;ROUNDUP(MONTH(Table13[[#This Row],[Date]])/3,0)</f>
        <v>Q1</v>
      </c>
    </row>
    <row r="138" spans="1:11" x14ac:dyDescent="0.35">
      <c r="A138" s="4" t="s">
        <v>156</v>
      </c>
      <c r="B138" s="6">
        <v>45362</v>
      </c>
      <c r="C138" s="6" t="str">
        <f>TEXT(Table13[[#This Row],[Date]],"MMM")</f>
        <v>Mar</v>
      </c>
      <c r="D138" s="6" t="str">
        <f>TEXT(Table13[[#This Row],[Date]],"YYYY")</f>
        <v>2024</v>
      </c>
      <c r="E138" s="4" t="s">
        <v>9</v>
      </c>
      <c r="F138" s="4" t="s">
        <v>10</v>
      </c>
      <c r="G138" s="4" t="s">
        <v>19</v>
      </c>
      <c r="H138" s="8">
        <v>1208.9100000000001</v>
      </c>
      <c r="I138">
        <v>2</v>
      </c>
      <c r="J138" s="8">
        <v>444.76</v>
      </c>
      <c r="K138" t="str">
        <f>"Q"&amp;ROUNDUP(MONTH(Table13[[#This Row],[Date]])/3,0)</f>
        <v>Q1</v>
      </c>
    </row>
    <row r="139" spans="1:11" x14ac:dyDescent="0.35">
      <c r="A139" s="4" t="s">
        <v>157</v>
      </c>
      <c r="B139" s="6">
        <v>45000</v>
      </c>
      <c r="C139" s="6" t="str">
        <f>TEXT(Table13[[#This Row],[Date]],"MMM")</f>
        <v>Mar</v>
      </c>
      <c r="D139" s="6" t="str">
        <f>TEXT(Table13[[#This Row],[Date]],"YYYY")</f>
        <v>2023</v>
      </c>
      <c r="E139" s="4" t="s">
        <v>23</v>
      </c>
      <c r="F139" s="4" t="s">
        <v>16</v>
      </c>
      <c r="G139" s="4" t="s">
        <v>19</v>
      </c>
      <c r="H139" s="8">
        <v>182.75</v>
      </c>
      <c r="I139">
        <v>1</v>
      </c>
      <c r="J139" s="8">
        <v>149.41999999999999</v>
      </c>
      <c r="K139" t="str">
        <f>"Q"&amp;ROUNDUP(MONTH(Table13[[#This Row],[Date]])/3,0)</f>
        <v>Q1</v>
      </c>
    </row>
    <row r="140" spans="1:11" x14ac:dyDescent="0.35">
      <c r="A140" s="4" t="s">
        <v>158</v>
      </c>
      <c r="B140" s="6">
        <v>45376</v>
      </c>
      <c r="C140" s="6" t="str">
        <f>TEXT(Table13[[#This Row],[Date]],"MMM")</f>
        <v>Mar</v>
      </c>
      <c r="D140" s="6" t="str">
        <f>TEXT(Table13[[#This Row],[Date]],"YYYY")</f>
        <v>2024</v>
      </c>
      <c r="E140" s="4" t="s">
        <v>9</v>
      </c>
      <c r="F140" s="4" t="s">
        <v>10</v>
      </c>
      <c r="G140" s="4" t="s">
        <v>26</v>
      </c>
      <c r="H140" s="8">
        <v>942.08</v>
      </c>
      <c r="I140">
        <v>2</v>
      </c>
      <c r="J140" s="8">
        <v>385.58</v>
      </c>
      <c r="K140" t="str">
        <f>"Q"&amp;ROUNDUP(MONTH(Table13[[#This Row],[Date]])/3,0)</f>
        <v>Q1</v>
      </c>
    </row>
    <row r="141" spans="1:11" x14ac:dyDescent="0.35">
      <c r="A141" s="4" t="s">
        <v>159</v>
      </c>
      <c r="B141" s="6">
        <v>45439</v>
      </c>
      <c r="C141" s="6" t="str">
        <f>TEXT(Table13[[#This Row],[Date]],"MMM")</f>
        <v>May</v>
      </c>
      <c r="D141" s="6" t="str">
        <f>TEXT(Table13[[#This Row],[Date]],"YYYY")</f>
        <v>2024</v>
      </c>
      <c r="E141" s="4" t="s">
        <v>18</v>
      </c>
      <c r="F141" s="4" t="s">
        <v>10</v>
      </c>
      <c r="G141" s="4" t="s">
        <v>26</v>
      </c>
      <c r="H141" s="8">
        <v>4128.41</v>
      </c>
      <c r="I141">
        <v>9</v>
      </c>
      <c r="J141" s="8">
        <v>405.16</v>
      </c>
      <c r="K141" t="str">
        <f>"Q"&amp;ROUNDUP(MONTH(Table13[[#This Row],[Date]])/3,0)</f>
        <v>Q2</v>
      </c>
    </row>
    <row r="142" spans="1:11" x14ac:dyDescent="0.35">
      <c r="A142" s="4" t="s">
        <v>160</v>
      </c>
      <c r="B142" s="6">
        <v>45257</v>
      </c>
      <c r="C142" s="6" t="str">
        <f>TEXT(Table13[[#This Row],[Date]],"MMM")</f>
        <v>Nov</v>
      </c>
      <c r="D142" s="6" t="str">
        <f>TEXT(Table13[[#This Row],[Date]],"YYYY")</f>
        <v>2023</v>
      </c>
      <c r="E142" s="4" t="s">
        <v>13</v>
      </c>
      <c r="F142" s="4" t="s">
        <v>10</v>
      </c>
      <c r="G142" s="4" t="s">
        <v>21</v>
      </c>
      <c r="H142" s="8">
        <v>2446.84</v>
      </c>
      <c r="I142">
        <v>10</v>
      </c>
      <c r="J142" s="8">
        <v>215.29</v>
      </c>
      <c r="K142" t="str">
        <f>"Q"&amp;ROUNDUP(MONTH(Table13[[#This Row],[Date]])/3,0)</f>
        <v>Q4</v>
      </c>
    </row>
    <row r="143" spans="1:11" x14ac:dyDescent="0.35">
      <c r="A143" s="4" t="s">
        <v>161</v>
      </c>
      <c r="B143" s="6">
        <v>45615</v>
      </c>
      <c r="C143" s="6" t="str">
        <f>TEXT(Table13[[#This Row],[Date]],"MMM")</f>
        <v>Nov</v>
      </c>
      <c r="D143" s="6" t="str">
        <f>TEXT(Table13[[#This Row],[Date]],"YYYY")</f>
        <v>2024</v>
      </c>
      <c r="E143" s="4" t="s">
        <v>9</v>
      </c>
      <c r="F143" s="4" t="s">
        <v>10</v>
      </c>
      <c r="G143" s="4" t="s">
        <v>11</v>
      </c>
      <c r="H143" s="8">
        <v>3298.6</v>
      </c>
      <c r="I143">
        <v>5</v>
      </c>
      <c r="J143" s="8">
        <v>469.47</v>
      </c>
      <c r="K143" t="str">
        <f>"Q"&amp;ROUNDUP(MONTH(Table13[[#This Row],[Date]])/3,0)</f>
        <v>Q4</v>
      </c>
    </row>
    <row r="144" spans="1:11" x14ac:dyDescent="0.35">
      <c r="A144" s="4" t="s">
        <v>162</v>
      </c>
      <c r="B144" s="6">
        <v>45458</v>
      </c>
      <c r="C144" s="6" t="str">
        <f>TEXT(Table13[[#This Row],[Date]],"MMM")</f>
        <v>Jun</v>
      </c>
      <c r="D144" s="6" t="str">
        <f>TEXT(Table13[[#This Row],[Date]],"YYYY")</f>
        <v>2024</v>
      </c>
      <c r="E144" s="4" t="s">
        <v>15</v>
      </c>
      <c r="F144" s="4" t="s">
        <v>16</v>
      </c>
      <c r="G144" s="4" t="s">
        <v>21</v>
      </c>
      <c r="H144" s="8">
        <v>6890.55</v>
      </c>
      <c r="I144">
        <v>8</v>
      </c>
      <c r="J144" s="8">
        <v>734.54</v>
      </c>
      <c r="K144" t="str">
        <f>"Q"&amp;ROUNDUP(MONTH(Table13[[#This Row],[Date]])/3,0)</f>
        <v>Q2</v>
      </c>
    </row>
    <row r="145" spans="1:11" x14ac:dyDescent="0.35">
      <c r="A145" s="4" t="s">
        <v>163</v>
      </c>
      <c r="B145" s="6">
        <v>45577</v>
      </c>
      <c r="C145" s="6" t="str">
        <f>TEXT(Table13[[#This Row],[Date]],"MMM")</f>
        <v>Oct</v>
      </c>
      <c r="D145" s="6" t="str">
        <f>TEXT(Table13[[#This Row],[Date]],"YYYY")</f>
        <v>2024</v>
      </c>
      <c r="E145" s="4" t="s">
        <v>25</v>
      </c>
      <c r="F145" s="4" t="s">
        <v>16</v>
      </c>
      <c r="G145" s="4" t="s">
        <v>21</v>
      </c>
      <c r="H145" s="8">
        <v>7994.49</v>
      </c>
      <c r="I145">
        <v>8</v>
      </c>
      <c r="J145" s="8">
        <v>775.86</v>
      </c>
      <c r="K145" t="str">
        <f>"Q"&amp;ROUNDUP(MONTH(Table13[[#This Row],[Date]])/3,0)</f>
        <v>Q4</v>
      </c>
    </row>
    <row r="146" spans="1:11" x14ac:dyDescent="0.35">
      <c r="A146" s="4" t="s">
        <v>164</v>
      </c>
      <c r="B146" s="6">
        <v>45255</v>
      </c>
      <c r="C146" s="6" t="str">
        <f>TEXT(Table13[[#This Row],[Date]],"MMM")</f>
        <v>Nov</v>
      </c>
      <c r="D146" s="6" t="str">
        <f>TEXT(Table13[[#This Row],[Date]],"YYYY")</f>
        <v>2023</v>
      </c>
      <c r="E146" s="4" t="s">
        <v>18</v>
      </c>
      <c r="F146" s="4" t="s">
        <v>10</v>
      </c>
      <c r="G146" s="4" t="s">
        <v>26</v>
      </c>
      <c r="H146" s="8">
        <v>1697.66</v>
      </c>
      <c r="I146">
        <v>2</v>
      </c>
      <c r="J146" s="8">
        <v>689.03</v>
      </c>
      <c r="K146" t="str">
        <f>"Q"&amp;ROUNDUP(MONTH(Table13[[#This Row],[Date]])/3,0)</f>
        <v>Q4</v>
      </c>
    </row>
    <row r="147" spans="1:11" x14ac:dyDescent="0.35">
      <c r="A147" s="4" t="s">
        <v>165</v>
      </c>
      <c r="B147" s="6">
        <v>45222</v>
      </c>
      <c r="C147" s="6" t="str">
        <f>TEXT(Table13[[#This Row],[Date]],"MMM")</f>
        <v>Oct</v>
      </c>
      <c r="D147" s="6" t="str">
        <f>TEXT(Table13[[#This Row],[Date]],"YYYY")</f>
        <v>2023</v>
      </c>
      <c r="E147" s="4" t="s">
        <v>9</v>
      </c>
      <c r="F147" s="4" t="s">
        <v>10</v>
      </c>
      <c r="G147" s="4" t="s">
        <v>21</v>
      </c>
      <c r="H147" s="8">
        <v>6048.5</v>
      </c>
      <c r="I147">
        <v>7</v>
      </c>
      <c r="J147" s="8">
        <v>654.58000000000004</v>
      </c>
      <c r="K147" t="str">
        <f>"Q"&amp;ROUNDUP(MONTH(Table13[[#This Row],[Date]])/3,0)</f>
        <v>Q4</v>
      </c>
    </row>
    <row r="148" spans="1:11" x14ac:dyDescent="0.35">
      <c r="A148" s="4" t="s">
        <v>166</v>
      </c>
      <c r="B148" s="6">
        <v>45249</v>
      </c>
      <c r="C148" s="6" t="str">
        <f>TEXT(Table13[[#This Row],[Date]],"MMM")</f>
        <v>Nov</v>
      </c>
      <c r="D148" s="6" t="str">
        <f>TEXT(Table13[[#This Row],[Date]],"YYYY")</f>
        <v>2023</v>
      </c>
      <c r="E148" s="4" t="s">
        <v>18</v>
      </c>
      <c r="F148" s="4" t="s">
        <v>10</v>
      </c>
      <c r="G148" s="4" t="s">
        <v>11</v>
      </c>
      <c r="H148" s="8">
        <v>2024.9</v>
      </c>
      <c r="I148">
        <v>5</v>
      </c>
      <c r="J148" s="8">
        <v>272.14999999999998</v>
      </c>
      <c r="K148" t="str">
        <f>"Q"&amp;ROUNDUP(MONTH(Table13[[#This Row],[Date]])/3,0)</f>
        <v>Q4</v>
      </c>
    </row>
    <row r="149" spans="1:11" x14ac:dyDescent="0.35">
      <c r="A149" s="4" t="s">
        <v>167</v>
      </c>
      <c r="B149" s="6">
        <v>45600</v>
      </c>
      <c r="C149" s="6" t="str">
        <f>TEXT(Table13[[#This Row],[Date]],"MMM")</f>
        <v>Nov</v>
      </c>
      <c r="D149" s="6" t="str">
        <f>TEXT(Table13[[#This Row],[Date]],"YYYY")</f>
        <v>2024</v>
      </c>
      <c r="E149" s="4" t="s">
        <v>18</v>
      </c>
      <c r="F149" s="4" t="s">
        <v>10</v>
      </c>
      <c r="G149" s="4" t="s">
        <v>11</v>
      </c>
      <c r="H149" s="8">
        <v>3839.58</v>
      </c>
      <c r="I149">
        <v>9</v>
      </c>
      <c r="J149" s="8">
        <v>380.34</v>
      </c>
      <c r="K149" t="str">
        <f>"Q"&amp;ROUNDUP(MONTH(Table13[[#This Row],[Date]])/3,0)</f>
        <v>Q4</v>
      </c>
    </row>
    <row r="150" spans="1:11" x14ac:dyDescent="0.35">
      <c r="A150" s="4" t="s">
        <v>168</v>
      </c>
      <c r="B150" s="6">
        <v>45564</v>
      </c>
      <c r="C150" s="6" t="str">
        <f>TEXT(Table13[[#This Row],[Date]],"MMM")</f>
        <v>Sep</v>
      </c>
      <c r="D150" s="6" t="str">
        <f>TEXT(Table13[[#This Row],[Date]],"YYYY")</f>
        <v>2024</v>
      </c>
      <c r="E150" s="4" t="s">
        <v>25</v>
      </c>
      <c r="F150" s="4" t="s">
        <v>16</v>
      </c>
      <c r="G150" s="4" t="s">
        <v>26</v>
      </c>
      <c r="H150" s="8">
        <v>5703.82</v>
      </c>
      <c r="I150">
        <v>8</v>
      </c>
      <c r="J150" s="8">
        <v>507.82</v>
      </c>
      <c r="K150" t="str">
        <f>"Q"&amp;ROUNDUP(MONTH(Table13[[#This Row],[Date]])/3,0)</f>
        <v>Q3</v>
      </c>
    </row>
    <row r="151" spans="1:11" x14ac:dyDescent="0.35">
      <c r="A151" s="4" t="s">
        <v>169</v>
      </c>
      <c r="B151" s="6">
        <v>45489</v>
      </c>
      <c r="C151" s="6" t="str">
        <f>TEXT(Table13[[#This Row],[Date]],"MMM")</f>
        <v>Jul</v>
      </c>
      <c r="D151" s="6" t="str">
        <f>TEXT(Table13[[#This Row],[Date]],"YYYY")</f>
        <v>2024</v>
      </c>
      <c r="E151" s="4" t="s">
        <v>15</v>
      </c>
      <c r="F151" s="4" t="s">
        <v>16</v>
      </c>
      <c r="G151" s="4" t="s">
        <v>26</v>
      </c>
      <c r="H151" s="8">
        <v>2844.74</v>
      </c>
      <c r="I151">
        <v>3</v>
      </c>
      <c r="J151" s="8">
        <v>743.58</v>
      </c>
      <c r="K151" t="str">
        <f>"Q"&amp;ROUNDUP(MONTH(Table13[[#This Row],[Date]])/3,0)</f>
        <v>Q3</v>
      </c>
    </row>
    <row r="152" spans="1:11" x14ac:dyDescent="0.35">
      <c r="A152" s="4" t="s">
        <v>170</v>
      </c>
      <c r="B152" s="6">
        <v>45051</v>
      </c>
      <c r="C152" s="6" t="str">
        <f>TEXT(Table13[[#This Row],[Date]],"MMM")</f>
        <v>May</v>
      </c>
      <c r="D152" s="6" t="str">
        <f>TEXT(Table13[[#This Row],[Date]],"YYYY")</f>
        <v>2023</v>
      </c>
      <c r="E152" s="4" t="s">
        <v>9</v>
      </c>
      <c r="F152" s="4" t="s">
        <v>10</v>
      </c>
      <c r="G152" s="4" t="s">
        <v>21</v>
      </c>
      <c r="H152" s="8">
        <v>1046.69</v>
      </c>
      <c r="I152">
        <v>1</v>
      </c>
      <c r="J152" s="8">
        <v>779.05</v>
      </c>
      <c r="K152" t="str">
        <f>"Q"&amp;ROUNDUP(MONTH(Table13[[#This Row],[Date]])/3,0)</f>
        <v>Q2</v>
      </c>
    </row>
    <row r="153" spans="1:11" x14ac:dyDescent="0.35">
      <c r="A153" s="4" t="s">
        <v>171</v>
      </c>
      <c r="B153" s="6">
        <v>45245</v>
      </c>
      <c r="C153" s="6" t="str">
        <f>TEXT(Table13[[#This Row],[Date]],"MMM")</f>
        <v>Nov</v>
      </c>
      <c r="D153" s="6" t="str">
        <f>TEXT(Table13[[#This Row],[Date]],"YYYY")</f>
        <v>2023</v>
      </c>
      <c r="E153" s="4" t="s">
        <v>15</v>
      </c>
      <c r="F153" s="4" t="s">
        <v>16</v>
      </c>
      <c r="G153" s="4" t="s">
        <v>19</v>
      </c>
      <c r="H153" s="8">
        <v>348.68</v>
      </c>
      <c r="I153">
        <v>9</v>
      </c>
      <c r="J153" s="8">
        <v>30.67</v>
      </c>
      <c r="K153" t="str">
        <f>"Q"&amp;ROUNDUP(MONTH(Table13[[#This Row],[Date]])/3,0)</f>
        <v>Q4</v>
      </c>
    </row>
    <row r="154" spans="1:11" x14ac:dyDescent="0.35">
      <c r="A154" s="4" t="s">
        <v>172</v>
      </c>
      <c r="B154" s="6">
        <v>45399</v>
      </c>
      <c r="C154" s="6" t="str">
        <f>TEXT(Table13[[#This Row],[Date]],"MMM")</f>
        <v>Apr</v>
      </c>
      <c r="D154" s="6" t="str">
        <f>TEXT(Table13[[#This Row],[Date]],"YYYY")</f>
        <v>2024</v>
      </c>
      <c r="E154" s="4" t="s">
        <v>15</v>
      </c>
      <c r="F154" s="4" t="s">
        <v>16</v>
      </c>
      <c r="G154" s="4" t="s">
        <v>11</v>
      </c>
      <c r="H154" s="8">
        <v>1220.1600000000001</v>
      </c>
      <c r="I154">
        <v>2</v>
      </c>
      <c r="J154" s="8">
        <v>525.21</v>
      </c>
      <c r="K154" t="str">
        <f>"Q"&amp;ROUNDUP(MONTH(Table13[[#This Row],[Date]])/3,0)</f>
        <v>Q2</v>
      </c>
    </row>
    <row r="155" spans="1:11" x14ac:dyDescent="0.35">
      <c r="A155" s="4" t="s">
        <v>173</v>
      </c>
      <c r="B155" s="6">
        <v>45448</v>
      </c>
      <c r="C155" s="6" t="str">
        <f>TEXT(Table13[[#This Row],[Date]],"MMM")</f>
        <v>Jun</v>
      </c>
      <c r="D155" s="6" t="str">
        <f>TEXT(Table13[[#This Row],[Date]],"YYYY")</f>
        <v>2024</v>
      </c>
      <c r="E155" s="4" t="s">
        <v>9</v>
      </c>
      <c r="F155" s="4" t="s">
        <v>10</v>
      </c>
      <c r="G155" s="4" t="s">
        <v>26</v>
      </c>
      <c r="H155" s="8">
        <v>2224.48</v>
      </c>
      <c r="I155">
        <v>5</v>
      </c>
      <c r="J155" s="8">
        <v>344.08</v>
      </c>
      <c r="K155" t="str">
        <f>"Q"&amp;ROUNDUP(MONTH(Table13[[#This Row],[Date]])/3,0)</f>
        <v>Q2</v>
      </c>
    </row>
    <row r="156" spans="1:11" x14ac:dyDescent="0.35">
      <c r="A156" s="4" t="s">
        <v>174</v>
      </c>
      <c r="B156" s="6">
        <v>45394</v>
      </c>
      <c r="C156" s="6" t="str">
        <f>TEXT(Table13[[#This Row],[Date]],"MMM")</f>
        <v>Apr</v>
      </c>
      <c r="D156" s="6" t="str">
        <f>TEXT(Table13[[#This Row],[Date]],"YYYY")</f>
        <v>2024</v>
      </c>
      <c r="E156" s="4" t="s">
        <v>18</v>
      </c>
      <c r="F156" s="4" t="s">
        <v>10</v>
      </c>
      <c r="G156" s="4" t="s">
        <v>19</v>
      </c>
      <c r="H156" s="8">
        <v>1406.06</v>
      </c>
      <c r="I156">
        <v>9</v>
      </c>
      <c r="J156" s="8">
        <v>132.82</v>
      </c>
      <c r="K156" t="str">
        <f>"Q"&amp;ROUNDUP(MONTH(Table13[[#This Row],[Date]])/3,0)</f>
        <v>Q2</v>
      </c>
    </row>
    <row r="157" spans="1:11" x14ac:dyDescent="0.35">
      <c r="A157" s="4" t="s">
        <v>175</v>
      </c>
      <c r="B157" s="6">
        <v>44998</v>
      </c>
      <c r="C157" s="6" t="str">
        <f>TEXT(Table13[[#This Row],[Date]],"MMM")</f>
        <v>Mar</v>
      </c>
      <c r="D157" s="6" t="str">
        <f>TEXT(Table13[[#This Row],[Date]],"YYYY")</f>
        <v>2023</v>
      </c>
      <c r="E157" s="4" t="s">
        <v>25</v>
      </c>
      <c r="F157" s="4" t="s">
        <v>16</v>
      </c>
      <c r="G157" s="4" t="s">
        <v>19</v>
      </c>
      <c r="H157" s="8">
        <v>4488.8599999999997</v>
      </c>
      <c r="I157">
        <v>5</v>
      </c>
      <c r="J157" s="8">
        <v>622.69000000000005</v>
      </c>
      <c r="K157" t="str">
        <f>"Q"&amp;ROUNDUP(MONTH(Table13[[#This Row],[Date]])/3,0)</f>
        <v>Q1</v>
      </c>
    </row>
    <row r="158" spans="1:11" x14ac:dyDescent="0.35">
      <c r="A158" s="4" t="s">
        <v>176</v>
      </c>
      <c r="B158" s="6">
        <v>44929</v>
      </c>
      <c r="C158" s="6" t="str">
        <f>TEXT(Table13[[#This Row],[Date]],"MMM")</f>
        <v>Jan</v>
      </c>
      <c r="D158" s="6" t="str">
        <f>TEXT(Table13[[#This Row],[Date]],"YYYY")</f>
        <v>2023</v>
      </c>
      <c r="E158" s="4" t="s">
        <v>23</v>
      </c>
      <c r="F158" s="4" t="s">
        <v>16</v>
      </c>
      <c r="G158" s="4" t="s">
        <v>26</v>
      </c>
      <c r="H158" s="8">
        <v>4206.82</v>
      </c>
      <c r="I158">
        <v>5</v>
      </c>
      <c r="J158" s="8">
        <v>586.32000000000005</v>
      </c>
      <c r="K158" t="str">
        <f>"Q"&amp;ROUNDUP(MONTH(Table13[[#This Row],[Date]])/3,0)</f>
        <v>Q1</v>
      </c>
    </row>
    <row r="159" spans="1:11" x14ac:dyDescent="0.35">
      <c r="A159" s="4" t="s">
        <v>177</v>
      </c>
      <c r="B159" s="6">
        <v>45079</v>
      </c>
      <c r="C159" s="6" t="str">
        <f>TEXT(Table13[[#This Row],[Date]],"MMM")</f>
        <v>Jun</v>
      </c>
      <c r="D159" s="6" t="str">
        <f>TEXT(Table13[[#This Row],[Date]],"YYYY")</f>
        <v>2023</v>
      </c>
      <c r="E159" s="4" t="s">
        <v>25</v>
      </c>
      <c r="F159" s="4" t="s">
        <v>16</v>
      </c>
      <c r="G159" s="4" t="s">
        <v>21</v>
      </c>
      <c r="H159" s="8">
        <v>4358.83</v>
      </c>
      <c r="I159">
        <v>8</v>
      </c>
      <c r="J159" s="8">
        <v>440.09</v>
      </c>
      <c r="K159" t="str">
        <f>"Q"&amp;ROUNDUP(MONTH(Table13[[#This Row],[Date]])/3,0)</f>
        <v>Q2</v>
      </c>
    </row>
    <row r="160" spans="1:11" x14ac:dyDescent="0.35">
      <c r="A160" s="4" t="s">
        <v>178</v>
      </c>
      <c r="B160" s="6">
        <v>45393</v>
      </c>
      <c r="C160" s="6" t="str">
        <f>TEXT(Table13[[#This Row],[Date]],"MMM")</f>
        <v>Apr</v>
      </c>
      <c r="D160" s="6" t="str">
        <f>TEXT(Table13[[#This Row],[Date]],"YYYY")</f>
        <v>2024</v>
      </c>
      <c r="E160" s="4" t="s">
        <v>25</v>
      </c>
      <c r="F160" s="4" t="s">
        <v>16</v>
      </c>
      <c r="G160" s="4" t="s">
        <v>21</v>
      </c>
      <c r="H160" s="8">
        <v>6252.39</v>
      </c>
      <c r="I160">
        <v>6</v>
      </c>
      <c r="J160" s="8">
        <v>698.29</v>
      </c>
      <c r="K160" t="str">
        <f>"Q"&amp;ROUNDUP(MONTH(Table13[[#This Row],[Date]])/3,0)</f>
        <v>Q2</v>
      </c>
    </row>
    <row r="161" spans="1:11" x14ac:dyDescent="0.35">
      <c r="A161" s="4" t="s">
        <v>179</v>
      </c>
      <c r="B161" s="6">
        <v>45166</v>
      </c>
      <c r="C161" s="6" t="str">
        <f>TEXT(Table13[[#This Row],[Date]],"MMM")</f>
        <v>Aug</v>
      </c>
      <c r="D161" s="6" t="str">
        <f>TEXT(Table13[[#This Row],[Date]],"YYYY")</f>
        <v>2023</v>
      </c>
      <c r="E161" s="4" t="s">
        <v>15</v>
      </c>
      <c r="F161" s="4" t="s">
        <v>16</v>
      </c>
      <c r="G161" s="4" t="s">
        <v>21</v>
      </c>
      <c r="H161" s="8">
        <v>528.79</v>
      </c>
      <c r="I161">
        <v>7</v>
      </c>
      <c r="J161" s="8">
        <v>54.04</v>
      </c>
      <c r="K161" t="str">
        <f>"Q"&amp;ROUNDUP(MONTH(Table13[[#This Row],[Date]])/3,0)</f>
        <v>Q3</v>
      </c>
    </row>
    <row r="162" spans="1:11" x14ac:dyDescent="0.35">
      <c r="A162" s="4" t="s">
        <v>180</v>
      </c>
      <c r="B162" s="6">
        <v>45322</v>
      </c>
      <c r="C162" s="6" t="str">
        <f>TEXT(Table13[[#This Row],[Date]],"MMM")</f>
        <v>Jan</v>
      </c>
      <c r="D162" s="6" t="str">
        <f>TEXT(Table13[[#This Row],[Date]],"YYYY")</f>
        <v>2024</v>
      </c>
      <c r="E162" s="4" t="s">
        <v>9</v>
      </c>
      <c r="F162" s="4" t="s">
        <v>10</v>
      </c>
      <c r="G162" s="4" t="s">
        <v>21</v>
      </c>
      <c r="H162" s="8">
        <v>1359.04</v>
      </c>
      <c r="I162">
        <v>3</v>
      </c>
      <c r="J162" s="8">
        <v>406.36</v>
      </c>
      <c r="K162" t="str">
        <f>"Q"&amp;ROUNDUP(MONTH(Table13[[#This Row],[Date]])/3,0)</f>
        <v>Q1</v>
      </c>
    </row>
    <row r="163" spans="1:11" x14ac:dyDescent="0.35">
      <c r="A163" s="4" t="s">
        <v>181</v>
      </c>
      <c r="B163" s="6">
        <v>45029</v>
      </c>
      <c r="C163" s="6" t="str">
        <f>TEXT(Table13[[#This Row],[Date]],"MMM")</f>
        <v>Apr</v>
      </c>
      <c r="D163" s="6" t="str">
        <f>TEXT(Table13[[#This Row],[Date]],"YYYY")</f>
        <v>2023</v>
      </c>
      <c r="E163" s="4" t="s">
        <v>25</v>
      </c>
      <c r="F163" s="4" t="s">
        <v>16</v>
      </c>
      <c r="G163" s="4" t="s">
        <v>26</v>
      </c>
      <c r="H163" s="8">
        <v>1145.3399999999999</v>
      </c>
      <c r="I163">
        <v>8</v>
      </c>
      <c r="J163" s="8">
        <v>97.78</v>
      </c>
      <c r="K163" t="str">
        <f>"Q"&amp;ROUNDUP(MONTH(Table13[[#This Row],[Date]])/3,0)</f>
        <v>Q2</v>
      </c>
    </row>
    <row r="164" spans="1:11" x14ac:dyDescent="0.35">
      <c r="A164" s="4" t="s">
        <v>182</v>
      </c>
      <c r="B164" s="6">
        <v>45346</v>
      </c>
      <c r="C164" s="6" t="str">
        <f>TEXT(Table13[[#This Row],[Date]],"MMM")</f>
        <v>Feb</v>
      </c>
      <c r="D164" s="6" t="str">
        <f>TEXT(Table13[[#This Row],[Date]],"YYYY")</f>
        <v>2024</v>
      </c>
      <c r="E164" s="4" t="s">
        <v>13</v>
      </c>
      <c r="F164" s="4" t="s">
        <v>10</v>
      </c>
      <c r="G164" s="4" t="s">
        <v>19</v>
      </c>
      <c r="H164" s="8">
        <v>332.12</v>
      </c>
      <c r="I164">
        <v>3</v>
      </c>
      <c r="J164" s="8">
        <v>78.37</v>
      </c>
      <c r="K164" t="str">
        <f>"Q"&amp;ROUNDUP(MONTH(Table13[[#This Row],[Date]])/3,0)</f>
        <v>Q1</v>
      </c>
    </row>
    <row r="165" spans="1:11" x14ac:dyDescent="0.35">
      <c r="A165" s="4" t="s">
        <v>183</v>
      </c>
      <c r="B165" s="6">
        <v>45565</v>
      </c>
      <c r="C165" s="6" t="str">
        <f>TEXT(Table13[[#This Row],[Date]],"MMM")</f>
        <v>Sep</v>
      </c>
      <c r="D165" s="6" t="str">
        <f>TEXT(Table13[[#This Row],[Date]],"YYYY")</f>
        <v>2024</v>
      </c>
      <c r="E165" s="4" t="s">
        <v>23</v>
      </c>
      <c r="F165" s="4" t="s">
        <v>16</v>
      </c>
      <c r="G165" s="4" t="s">
        <v>26</v>
      </c>
      <c r="H165" s="8">
        <v>5313.45</v>
      </c>
      <c r="I165">
        <v>7</v>
      </c>
      <c r="J165" s="8">
        <v>526.87</v>
      </c>
      <c r="K165" t="str">
        <f>"Q"&amp;ROUNDUP(MONTH(Table13[[#This Row],[Date]])/3,0)</f>
        <v>Q3</v>
      </c>
    </row>
    <row r="166" spans="1:11" x14ac:dyDescent="0.35">
      <c r="A166" s="4" t="s">
        <v>184</v>
      </c>
      <c r="B166" s="6">
        <v>45251</v>
      </c>
      <c r="C166" s="6" t="str">
        <f>TEXT(Table13[[#This Row],[Date]],"MMM")</f>
        <v>Nov</v>
      </c>
      <c r="D166" s="6" t="str">
        <f>TEXT(Table13[[#This Row],[Date]],"YYYY")</f>
        <v>2023</v>
      </c>
      <c r="E166" s="4" t="s">
        <v>9</v>
      </c>
      <c r="F166" s="4" t="s">
        <v>10</v>
      </c>
      <c r="G166" s="4" t="s">
        <v>21</v>
      </c>
      <c r="H166" s="8">
        <v>6244.51</v>
      </c>
      <c r="I166">
        <v>8</v>
      </c>
      <c r="J166" s="8">
        <v>700.46</v>
      </c>
      <c r="K166" t="str">
        <f>"Q"&amp;ROUNDUP(MONTH(Table13[[#This Row],[Date]])/3,0)</f>
        <v>Q4</v>
      </c>
    </row>
    <row r="167" spans="1:11" x14ac:dyDescent="0.35">
      <c r="A167" s="4" t="s">
        <v>185</v>
      </c>
      <c r="B167" s="6">
        <v>45573</v>
      </c>
      <c r="C167" s="6" t="str">
        <f>TEXT(Table13[[#This Row],[Date]],"MMM")</f>
        <v>Oct</v>
      </c>
      <c r="D167" s="6" t="str">
        <f>TEXT(Table13[[#This Row],[Date]],"YYYY")</f>
        <v>2024</v>
      </c>
      <c r="E167" s="4" t="s">
        <v>13</v>
      </c>
      <c r="F167" s="4" t="s">
        <v>10</v>
      </c>
      <c r="G167" s="4" t="s">
        <v>19</v>
      </c>
      <c r="H167" s="8">
        <v>5580.77</v>
      </c>
      <c r="I167">
        <v>5</v>
      </c>
      <c r="J167" s="8">
        <v>797.99</v>
      </c>
      <c r="K167" t="str">
        <f>"Q"&amp;ROUNDUP(MONTH(Table13[[#This Row],[Date]])/3,0)</f>
        <v>Q4</v>
      </c>
    </row>
    <row r="168" spans="1:11" x14ac:dyDescent="0.35">
      <c r="A168" s="4" t="s">
        <v>186</v>
      </c>
      <c r="B168" s="6">
        <v>45575</v>
      </c>
      <c r="C168" s="6" t="str">
        <f>TEXT(Table13[[#This Row],[Date]],"MMM")</f>
        <v>Oct</v>
      </c>
      <c r="D168" s="6" t="str">
        <f>TEXT(Table13[[#This Row],[Date]],"YYYY")</f>
        <v>2024</v>
      </c>
      <c r="E168" s="4" t="s">
        <v>18</v>
      </c>
      <c r="F168" s="4" t="s">
        <v>10</v>
      </c>
      <c r="G168" s="4" t="s">
        <v>11</v>
      </c>
      <c r="H168" s="8">
        <v>1008.6</v>
      </c>
      <c r="I168">
        <v>2</v>
      </c>
      <c r="J168" s="8">
        <v>366.07</v>
      </c>
      <c r="K168" t="str">
        <f>"Q"&amp;ROUNDUP(MONTH(Table13[[#This Row],[Date]])/3,0)</f>
        <v>Q4</v>
      </c>
    </row>
    <row r="169" spans="1:11" x14ac:dyDescent="0.35">
      <c r="A169" s="4" t="s">
        <v>187</v>
      </c>
      <c r="B169" s="6">
        <v>45259</v>
      </c>
      <c r="C169" s="6" t="str">
        <f>TEXT(Table13[[#This Row],[Date]],"MMM")</f>
        <v>Nov</v>
      </c>
      <c r="D169" s="6" t="str">
        <f>TEXT(Table13[[#This Row],[Date]],"YYYY")</f>
        <v>2023</v>
      </c>
      <c r="E169" s="4" t="s">
        <v>13</v>
      </c>
      <c r="F169" s="4" t="s">
        <v>10</v>
      </c>
      <c r="G169" s="4" t="s">
        <v>11</v>
      </c>
      <c r="H169" s="8">
        <v>311.02</v>
      </c>
      <c r="I169">
        <v>1</v>
      </c>
      <c r="J169" s="8">
        <v>248.83</v>
      </c>
      <c r="K169" t="str">
        <f>"Q"&amp;ROUNDUP(MONTH(Table13[[#This Row],[Date]])/3,0)</f>
        <v>Q4</v>
      </c>
    </row>
    <row r="170" spans="1:11" x14ac:dyDescent="0.35">
      <c r="A170" s="4" t="s">
        <v>188</v>
      </c>
      <c r="B170" s="6">
        <v>45470</v>
      </c>
      <c r="C170" s="6" t="str">
        <f>TEXT(Table13[[#This Row],[Date]],"MMM")</f>
        <v>Jun</v>
      </c>
      <c r="D170" s="6" t="str">
        <f>TEXT(Table13[[#This Row],[Date]],"YYYY")</f>
        <v>2024</v>
      </c>
      <c r="E170" s="4" t="s">
        <v>15</v>
      </c>
      <c r="F170" s="4" t="s">
        <v>16</v>
      </c>
      <c r="G170" s="4" t="s">
        <v>19</v>
      </c>
      <c r="H170" s="8">
        <v>4576.8500000000004</v>
      </c>
      <c r="I170">
        <v>7</v>
      </c>
      <c r="J170" s="8">
        <v>461.42</v>
      </c>
      <c r="K170" t="str">
        <f>"Q"&amp;ROUNDUP(MONTH(Table13[[#This Row],[Date]])/3,0)</f>
        <v>Q2</v>
      </c>
    </row>
    <row r="171" spans="1:11" x14ac:dyDescent="0.35">
      <c r="A171" s="4" t="s">
        <v>189</v>
      </c>
      <c r="B171" s="6">
        <v>45007</v>
      </c>
      <c r="C171" s="6" t="str">
        <f>TEXT(Table13[[#This Row],[Date]],"MMM")</f>
        <v>Mar</v>
      </c>
      <c r="D171" s="6" t="str">
        <f>TEXT(Table13[[#This Row],[Date]],"YYYY")</f>
        <v>2023</v>
      </c>
      <c r="E171" s="4" t="s">
        <v>15</v>
      </c>
      <c r="F171" s="4" t="s">
        <v>16</v>
      </c>
      <c r="G171" s="4" t="s">
        <v>19</v>
      </c>
      <c r="H171" s="8">
        <v>9425.08</v>
      </c>
      <c r="I171">
        <v>10</v>
      </c>
      <c r="J171" s="8">
        <v>699.25</v>
      </c>
      <c r="K171" t="str">
        <f>"Q"&amp;ROUNDUP(MONTH(Table13[[#This Row],[Date]])/3,0)</f>
        <v>Q1</v>
      </c>
    </row>
    <row r="172" spans="1:11" x14ac:dyDescent="0.35">
      <c r="A172" s="4" t="s">
        <v>190</v>
      </c>
      <c r="B172" s="6">
        <v>45524</v>
      </c>
      <c r="C172" s="6" t="str">
        <f>TEXT(Table13[[#This Row],[Date]],"MMM")</f>
        <v>Aug</v>
      </c>
      <c r="D172" s="6" t="str">
        <f>TEXT(Table13[[#This Row],[Date]],"YYYY")</f>
        <v>2024</v>
      </c>
      <c r="E172" s="4" t="s">
        <v>15</v>
      </c>
      <c r="F172" s="4" t="s">
        <v>16</v>
      </c>
      <c r="G172" s="4" t="s">
        <v>21</v>
      </c>
      <c r="H172" s="8">
        <v>817.61</v>
      </c>
      <c r="I172">
        <v>3</v>
      </c>
      <c r="J172" s="8">
        <v>201.11</v>
      </c>
      <c r="K172" t="str">
        <f>"Q"&amp;ROUNDUP(MONTH(Table13[[#This Row],[Date]])/3,0)</f>
        <v>Q3</v>
      </c>
    </row>
    <row r="173" spans="1:11" x14ac:dyDescent="0.35">
      <c r="A173" s="4" t="s">
        <v>191</v>
      </c>
      <c r="B173" s="6">
        <v>45609</v>
      </c>
      <c r="C173" s="6" t="str">
        <f>TEXT(Table13[[#This Row],[Date]],"MMM")</f>
        <v>Nov</v>
      </c>
      <c r="D173" s="6" t="str">
        <f>TEXT(Table13[[#This Row],[Date]],"YYYY")</f>
        <v>2024</v>
      </c>
      <c r="E173" s="4" t="s">
        <v>18</v>
      </c>
      <c r="F173" s="4" t="s">
        <v>10</v>
      </c>
      <c r="G173" s="4" t="s">
        <v>26</v>
      </c>
      <c r="H173" s="8">
        <v>927.47</v>
      </c>
      <c r="I173">
        <v>1</v>
      </c>
      <c r="J173" s="8">
        <v>721.15</v>
      </c>
      <c r="K173" t="str">
        <f>"Q"&amp;ROUNDUP(MONTH(Table13[[#This Row],[Date]])/3,0)</f>
        <v>Q4</v>
      </c>
    </row>
    <row r="174" spans="1:11" x14ac:dyDescent="0.35">
      <c r="A174" s="4" t="s">
        <v>192</v>
      </c>
      <c r="B174" s="6">
        <v>45002</v>
      </c>
      <c r="C174" s="6" t="str">
        <f>TEXT(Table13[[#This Row],[Date]],"MMM")</f>
        <v>Mar</v>
      </c>
      <c r="D174" s="6" t="str">
        <f>TEXT(Table13[[#This Row],[Date]],"YYYY")</f>
        <v>2023</v>
      </c>
      <c r="E174" s="4" t="s">
        <v>23</v>
      </c>
      <c r="F174" s="4" t="s">
        <v>16</v>
      </c>
      <c r="G174" s="4" t="s">
        <v>19</v>
      </c>
      <c r="H174" s="8">
        <v>9057.44</v>
      </c>
      <c r="I174">
        <v>8</v>
      </c>
      <c r="J174" s="8">
        <v>757.28</v>
      </c>
      <c r="K174" t="str">
        <f>"Q"&amp;ROUNDUP(MONTH(Table13[[#This Row],[Date]])/3,0)</f>
        <v>Q1</v>
      </c>
    </row>
    <row r="175" spans="1:11" x14ac:dyDescent="0.35">
      <c r="A175" s="4" t="s">
        <v>193</v>
      </c>
      <c r="B175" s="6">
        <v>45633</v>
      </c>
      <c r="C175" s="6" t="str">
        <f>TEXT(Table13[[#This Row],[Date]],"MMM")</f>
        <v>Dec</v>
      </c>
      <c r="D175" s="6" t="str">
        <f>TEXT(Table13[[#This Row],[Date]],"YYYY")</f>
        <v>2024</v>
      </c>
      <c r="E175" s="4" t="s">
        <v>23</v>
      </c>
      <c r="F175" s="4" t="s">
        <v>16</v>
      </c>
      <c r="G175" s="4" t="s">
        <v>21</v>
      </c>
      <c r="H175" s="8">
        <v>2297.21</v>
      </c>
      <c r="I175">
        <v>5</v>
      </c>
      <c r="J175" s="8">
        <v>376.33</v>
      </c>
      <c r="K175" t="str">
        <f>"Q"&amp;ROUNDUP(MONTH(Table13[[#This Row],[Date]])/3,0)</f>
        <v>Q4</v>
      </c>
    </row>
    <row r="176" spans="1:11" x14ac:dyDescent="0.35">
      <c r="A176" s="4" t="s">
        <v>194</v>
      </c>
      <c r="B176" s="6">
        <v>45036</v>
      </c>
      <c r="C176" s="6" t="str">
        <f>TEXT(Table13[[#This Row],[Date]],"MMM")</f>
        <v>Apr</v>
      </c>
      <c r="D176" s="6" t="str">
        <f>TEXT(Table13[[#This Row],[Date]],"YYYY")</f>
        <v>2023</v>
      </c>
      <c r="E176" s="4" t="s">
        <v>18</v>
      </c>
      <c r="F176" s="4" t="s">
        <v>10</v>
      </c>
      <c r="G176" s="4" t="s">
        <v>21</v>
      </c>
      <c r="H176" s="8">
        <v>1579.15</v>
      </c>
      <c r="I176">
        <v>4</v>
      </c>
      <c r="J176" s="8">
        <v>317.45999999999998</v>
      </c>
      <c r="K176" t="str">
        <f>"Q"&amp;ROUNDUP(MONTH(Table13[[#This Row],[Date]])/3,0)</f>
        <v>Q2</v>
      </c>
    </row>
    <row r="177" spans="1:11" x14ac:dyDescent="0.35">
      <c r="A177" s="4" t="s">
        <v>195</v>
      </c>
      <c r="B177" s="6">
        <v>44949</v>
      </c>
      <c r="C177" s="6" t="str">
        <f>TEXT(Table13[[#This Row],[Date]],"MMM")</f>
        <v>Jan</v>
      </c>
      <c r="D177" s="6" t="str">
        <f>TEXT(Table13[[#This Row],[Date]],"YYYY")</f>
        <v>2023</v>
      </c>
      <c r="E177" s="4" t="s">
        <v>23</v>
      </c>
      <c r="F177" s="4" t="s">
        <v>16</v>
      </c>
      <c r="G177" s="4" t="s">
        <v>26</v>
      </c>
      <c r="H177" s="8">
        <v>2173.4299999999998</v>
      </c>
      <c r="I177">
        <v>7</v>
      </c>
      <c r="J177" s="8">
        <v>234.09</v>
      </c>
      <c r="K177" t="str">
        <f>"Q"&amp;ROUNDUP(MONTH(Table13[[#This Row],[Date]])/3,0)</f>
        <v>Q1</v>
      </c>
    </row>
    <row r="178" spans="1:11" x14ac:dyDescent="0.35">
      <c r="A178" s="4" t="s">
        <v>196</v>
      </c>
      <c r="B178" s="6">
        <v>45547</v>
      </c>
      <c r="C178" s="6" t="str">
        <f>TEXT(Table13[[#This Row],[Date]],"MMM")</f>
        <v>Sep</v>
      </c>
      <c r="D178" s="6" t="str">
        <f>TEXT(Table13[[#This Row],[Date]],"YYYY")</f>
        <v>2024</v>
      </c>
      <c r="E178" s="4" t="s">
        <v>9</v>
      </c>
      <c r="F178" s="4" t="s">
        <v>10</v>
      </c>
      <c r="G178" s="4" t="s">
        <v>11</v>
      </c>
      <c r="H178" s="8">
        <v>7827.33</v>
      </c>
      <c r="I178">
        <v>8</v>
      </c>
      <c r="J178" s="8">
        <v>669.61</v>
      </c>
      <c r="K178" t="str">
        <f>"Q"&amp;ROUNDUP(MONTH(Table13[[#This Row],[Date]])/3,0)</f>
        <v>Q3</v>
      </c>
    </row>
    <row r="179" spans="1:11" x14ac:dyDescent="0.35">
      <c r="A179" s="4" t="s">
        <v>197</v>
      </c>
      <c r="B179" s="6">
        <v>45151</v>
      </c>
      <c r="C179" s="6" t="str">
        <f>TEXT(Table13[[#This Row],[Date]],"MMM")</f>
        <v>Aug</v>
      </c>
      <c r="D179" s="6" t="str">
        <f>TEXT(Table13[[#This Row],[Date]],"YYYY")</f>
        <v>2023</v>
      </c>
      <c r="E179" s="4" t="s">
        <v>15</v>
      </c>
      <c r="F179" s="4" t="s">
        <v>16</v>
      </c>
      <c r="G179" s="4" t="s">
        <v>26</v>
      </c>
      <c r="H179" s="8">
        <v>2765.79</v>
      </c>
      <c r="I179">
        <v>4</v>
      </c>
      <c r="J179" s="8">
        <v>504.3</v>
      </c>
      <c r="K179" t="str">
        <f>"Q"&amp;ROUNDUP(MONTH(Table13[[#This Row],[Date]])/3,0)</f>
        <v>Q3</v>
      </c>
    </row>
    <row r="180" spans="1:11" x14ac:dyDescent="0.35">
      <c r="A180" s="4" t="s">
        <v>198</v>
      </c>
      <c r="B180" s="6">
        <v>45570</v>
      </c>
      <c r="C180" s="6" t="str">
        <f>TEXT(Table13[[#This Row],[Date]],"MMM")</f>
        <v>Oct</v>
      </c>
      <c r="D180" s="6" t="str">
        <f>TEXT(Table13[[#This Row],[Date]],"YYYY")</f>
        <v>2024</v>
      </c>
      <c r="E180" s="4" t="s">
        <v>9</v>
      </c>
      <c r="F180" s="4" t="s">
        <v>10</v>
      </c>
      <c r="G180" s="4" t="s">
        <v>19</v>
      </c>
      <c r="H180" s="8">
        <v>1968.93</v>
      </c>
      <c r="I180">
        <v>2</v>
      </c>
      <c r="J180" s="8">
        <v>724.65</v>
      </c>
      <c r="K180" t="str">
        <f>"Q"&amp;ROUNDUP(MONTH(Table13[[#This Row],[Date]])/3,0)</f>
        <v>Q4</v>
      </c>
    </row>
    <row r="181" spans="1:11" x14ac:dyDescent="0.35">
      <c r="A181" s="4" t="s">
        <v>199</v>
      </c>
      <c r="B181" s="6">
        <v>44961</v>
      </c>
      <c r="C181" s="6" t="str">
        <f>TEXT(Table13[[#This Row],[Date]],"MMM")</f>
        <v>Feb</v>
      </c>
      <c r="D181" s="6" t="str">
        <f>TEXT(Table13[[#This Row],[Date]],"YYYY")</f>
        <v>2023</v>
      </c>
      <c r="E181" s="4" t="s">
        <v>23</v>
      </c>
      <c r="F181" s="4" t="s">
        <v>16</v>
      </c>
      <c r="G181" s="4" t="s">
        <v>21</v>
      </c>
      <c r="H181" s="8">
        <v>3510.6</v>
      </c>
      <c r="I181">
        <v>10</v>
      </c>
      <c r="J181" s="8">
        <v>304.58999999999997</v>
      </c>
      <c r="K181" t="str">
        <f>"Q"&amp;ROUNDUP(MONTH(Table13[[#This Row],[Date]])/3,0)</f>
        <v>Q1</v>
      </c>
    </row>
    <row r="182" spans="1:11" x14ac:dyDescent="0.35">
      <c r="A182" s="4" t="s">
        <v>200</v>
      </c>
      <c r="B182" s="6">
        <v>45352</v>
      </c>
      <c r="C182" s="6" t="str">
        <f>TEXT(Table13[[#This Row],[Date]],"MMM")</f>
        <v>Mar</v>
      </c>
      <c r="D182" s="6" t="str">
        <f>TEXT(Table13[[#This Row],[Date]],"YYYY")</f>
        <v>2024</v>
      </c>
      <c r="E182" s="4" t="s">
        <v>23</v>
      </c>
      <c r="F182" s="4" t="s">
        <v>16</v>
      </c>
      <c r="G182" s="4" t="s">
        <v>26</v>
      </c>
      <c r="H182" s="8">
        <v>749.54</v>
      </c>
      <c r="I182">
        <v>3</v>
      </c>
      <c r="J182" s="8">
        <v>176.62</v>
      </c>
      <c r="K182" t="str">
        <f>"Q"&amp;ROUNDUP(MONTH(Table13[[#This Row],[Date]])/3,0)</f>
        <v>Q1</v>
      </c>
    </row>
    <row r="183" spans="1:11" x14ac:dyDescent="0.35">
      <c r="A183" s="4" t="s">
        <v>201</v>
      </c>
      <c r="B183" s="6">
        <v>45095</v>
      </c>
      <c r="C183" s="6" t="str">
        <f>TEXT(Table13[[#This Row],[Date]],"MMM")</f>
        <v>Jun</v>
      </c>
      <c r="D183" s="6" t="str">
        <f>TEXT(Table13[[#This Row],[Date]],"YYYY")</f>
        <v>2023</v>
      </c>
      <c r="E183" s="4" t="s">
        <v>23</v>
      </c>
      <c r="F183" s="4" t="s">
        <v>16</v>
      </c>
      <c r="G183" s="4" t="s">
        <v>26</v>
      </c>
      <c r="H183" s="8">
        <v>5415.38</v>
      </c>
      <c r="I183">
        <v>5</v>
      </c>
      <c r="J183" s="8">
        <v>732.96</v>
      </c>
      <c r="K183" t="str">
        <f>"Q"&amp;ROUNDUP(MONTH(Table13[[#This Row],[Date]])/3,0)</f>
        <v>Q2</v>
      </c>
    </row>
    <row r="184" spans="1:11" x14ac:dyDescent="0.35">
      <c r="A184" s="4" t="s">
        <v>202</v>
      </c>
      <c r="B184" s="6">
        <v>45044</v>
      </c>
      <c r="C184" s="6" t="str">
        <f>TEXT(Table13[[#This Row],[Date]],"MMM")</f>
        <v>Apr</v>
      </c>
      <c r="D184" s="6" t="str">
        <f>TEXT(Table13[[#This Row],[Date]],"YYYY")</f>
        <v>2023</v>
      </c>
      <c r="E184" s="4" t="s">
        <v>23</v>
      </c>
      <c r="F184" s="4" t="s">
        <v>16</v>
      </c>
      <c r="G184" s="4" t="s">
        <v>26</v>
      </c>
      <c r="H184" s="8">
        <v>7132.63</v>
      </c>
      <c r="I184">
        <v>8</v>
      </c>
      <c r="J184" s="8">
        <v>771.06</v>
      </c>
      <c r="K184" t="str">
        <f>"Q"&amp;ROUNDUP(MONTH(Table13[[#This Row],[Date]])/3,0)</f>
        <v>Q2</v>
      </c>
    </row>
    <row r="185" spans="1:11" x14ac:dyDescent="0.35">
      <c r="A185" s="4" t="s">
        <v>203</v>
      </c>
      <c r="B185" s="6">
        <v>45497</v>
      </c>
      <c r="C185" s="6" t="str">
        <f>TEXT(Table13[[#This Row],[Date]],"MMM")</f>
        <v>Jul</v>
      </c>
      <c r="D185" s="6" t="str">
        <f>TEXT(Table13[[#This Row],[Date]],"YYYY")</f>
        <v>2024</v>
      </c>
      <c r="E185" s="4" t="s">
        <v>15</v>
      </c>
      <c r="F185" s="4" t="s">
        <v>16</v>
      </c>
      <c r="G185" s="4" t="s">
        <v>21</v>
      </c>
      <c r="H185" s="8">
        <v>682.55</v>
      </c>
      <c r="I185">
        <v>6</v>
      </c>
      <c r="J185" s="8">
        <v>90.44</v>
      </c>
      <c r="K185" t="str">
        <f>"Q"&amp;ROUNDUP(MONTH(Table13[[#This Row],[Date]])/3,0)</f>
        <v>Q3</v>
      </c>
    </row>
    <row r="186" spans="1:11" x14ac:dyDescent="0.35">
      <c r="A186" s="4" t="s">
        <v>204</v>
      </c>
      <c r="B186" s="6">
        <v>45392</v>
      </c>
      <c r="C186" s="6" t="str">
        <f>TEXT(Table13[[#This Row],[Date]],"MMM")</f>
        <v>Apr</v>
      </c>
      <c r="D186" s="6" t="str">
        <f>TEXT(Table13[[#This Row],[Date]],"YYYY")</f>
        <v>2024</v>
      </c>
      <c r="E186" s="4" t="s">
        <v>23</v>
      </c>
      <c r="F186" s="4" t="s">
        <v>16</v>
      </c>
      <c r="G186" s="4" t="s">
        <v>11</v>
      </c>
      <c r="H186" s="8">
        <v>4474.8599999999997</v>
      </c>
      <c r="I186">
        <v>6</v>
      </c>
      <c r="J186" s="8">
        <v>544.80999999999995</v>
      </c>
      <c r="K186" t="str">
        <f>"Q"&amp;ROUNDUP(MONTH(Table13[[#This Row],[Date]])/3,0)</f>
        <v>Q2</v>
      </c>
    </row>
    <row r="187" spans="1:11" x14ac:dyDescent="0.35">
      <c r="A187" s="4" t="s">
        <v>205</v>
      </c>
      <c r="B187" s="6">
        <v>45580</v>
      </c>
      <c r="C187" s="6" t="str">
        <f>TEXT(Table13[[#This Row],[Date]],"MMM")</f>
        <v>Oct</v>
      </c>
      <c r="D187" s="6" t="str">
        <f>TEXT(Table13[[#This Row],[Date]],"YYYY")</f>
        <v>2024</v>
      </c>
      <c r="E187" s="4" t="s">
        <v>25</v>
      </c>
      <c r="F187" s="4" t="s">
        <v>16</v>
      </c>
      <c r="G187" s="4" t="s">
        <v>21</v>
      </c>
      <c r="H187" s="8">
        <v>748.41</v>
      </c>
      <c r="I187">
        <v>6</v>
      </c>
      <c r="J187" s="8">
        <v>104.51</v>
      </c>
      <c r="K187" t="str">
        <f>"Q"&amp;ROUNDUP(MONTH(Table13[[#This Row],[Date]])/3,0)</f>
        <v>Q4</v>
      </c>
    </row>
    <row r="188" spans="1:11" x14ac:dyDescent="0.35">
      <c r="A188" s="4" t="s">
        <v>206</v>
      </c>
      <c r="B188" s="6">
        <v>45551</v>
      </c>
      <c r="C188" s="6" t="str">
        <f>TEXT(Table13[[#This Row],[Date]],"MMM")</f>
        <v>Sep</v>
      </c>
      <c r="D188" s="6" t="str">
        <f>TEXT(Table13[[#This Row],[Date]],"YYYY")</f>
        <v>2024</v>
      </c>
      <c r="E188" s="4" t="s">
        <v>13</v>
      </c>
      <c r="F188" s="4" t="s">
        <v>10</v>
      </c>
      <c r="G188" s="4" t="s">
        <v>26</v>
      </c>
      <c r="H188" s="8">
        <v>2844.66</v>
      </c>
      <c r="I188">
        <v>4</v>
      </c>
      <c r="J188" s="8">
        <v>525.16999999999996</v>
      </c>
      <c r="K188" t="str">
        <f>"Q"&amp;ROUNDUP(MONTH(Table13[[#This Row],[Date]])/3,0)</f>
        <v>Q3</v>
      </c>
    </row>
    <row r="189" spans="1:11" x14ac:dyDescent="0.35">
      <c r="A189" s="4" t="s">
        <v>207</v>
      </c>
      <c r="B189" s="6">
        <v>45591</v>
      </c>
      <c r="C189" s="6" t="str">
        <f>TEXT(Table13[[#This Row],[Date]],"MMM")</f>
        <v>Oct</v>
      </c>
      <c r="D189" s="6" t="str">
        <f>TEXT(Table13[[#This Row],[Date]],"YYYY")</f>
        <v>2024</v>
      </c>
      <c r="E189" s="4" t="s">
        <v>18</v>
      </c>
      <c r="F189" s="4" t="s">
        <v>10</v>
      </c>
      <c r="G189" s="4" t="s">
        <v>26</v>
      </c>
      <c r="H189" s="8">
        <v>868.87</v>
      </c>
      <c r="I189">
        <v>7</v>
      </c>
      <c r="J189" s="8">
        <v>111.01</v>
      </c>
      <c r="K189" t="str">
        <f>"Q"&amp;ROUNDUP(MONTH(Table13[[#This Row],[Date]])/3,0)</f>
        <v>Q4</v>
      </c>
    </row>
    <row r="190" spans="1:11" x14ac:dyDescent="0.35">
      <c r="A190" s="4" t="s">
        <v>208</v>
      </c>
      <c r="B190" s="6">
        <v>45431</v>
      </c>
      <c r="C190" s="6" t="str">
        <f>TEXT(Table13[[#This Row],[Date]],"MMM")</f>
        <v>May</v>
      </c>
      <c r="D190" s="6" t="str">
        <f>TEXT(Table13[[#This Row],[Date]],"YYYY")</f>
        <v>2024</v>
      </c>
      <c r="E190" s="4" t="s">
        <v>13</v>
      </c>
      <c r="F190" s="4" t="s">
        <v>10</v>
      </c>
      <c r="G190" s="4" t="s">
        <v>26</v>
      </c>
      <c r="H190" s="8">
        <v>278.79000000000002</v>
      </c>
      <c r="I190">
        <v>2</v>
      </c>
      <c r="J190" s="8">
        <v>95.81</v>
      </c>
      <c r="K190" t="str">
        <f>"Q"&amp;ROUNDUP(MONTH(Table13[[#This Row],[Date]])/3,0)</f>
        <v>Q2</v>
      </c>
    </row>
    <row r="191" spans="1:11" x14ac:dyDescent="0.35">
      <c r="A191" s="4" t="s">
        <v>209</v>
      </c>
      <c r="B191" s="6">
        <v>45391</v>
      </c>
      <c r="C191" s="6" t="str">
        <f>TEXT(Table13[[#This Row],[Date]],"MMM")</f>
        <v>Apr</v>
      </c>
      <c r="D191" s="6" t="str">
        <f>TEXT(Table13[[#This Row],[Date]],"YYYY")</f>
        <v>2024</v>
      </c>
      <c r="E191" s="4" t="s">
        <v>15</v>
      </c>
      <c r="F191" s="4" t="s">
        <v>16</v>
      </c>
      <c r="G191" s="4" t="s">
        <v>21</v>
      </c>
      <c r="H191" s="8">
        <v>4552.09</v>
      </c>
      <c r="I191">
        <v>6</v>
      </c>
      <c r="J191" s="8">
        <v>542.98</v>
      </c>
      <c r="K191" t="str">
        <f>"Q"&amp;ROUNDUP(MONTH(Table13[[#This Row],[Date]])/3,0)</f>
        <v>Q2</v>
      </c>
    </row>
    <row r="192" spans="1:11" x14ac:dyDescent="0.35">
      <c r="A192" s="4" t="s">
        <v>210</v>
      </c>
      <c r="B192" s="6">
        <v>45528</v>
      </c>
      <c r="C192" s="6" t="str">
        <f>TEXT(Table13[[#This Row],[Date]],"MMM")</f>
        <v>Aug</v>
      </c>
      <c r="D192" s="6" t="str">
        <f>TEXT(Table13[[#This Row],[Date]],"YYYY")</f>
        <v>2024</v>
      </c>
      <c r="E192" s="4" t="s">
        <v>25</v>
      </c>
      <c r="F192" s="4" t="s">
        <v>16</v>
      </c>
      <c r="G192" s="4" t="s">
        <v>21</v>
      </c>
      <c r="H192" s="8">
        <v>2903.53</v>
      </c>
      <c r="I192">
        <v>3</v>
      </c>
      <c r="J192" s="8">
        <v>710.62</v>
      </c>
      <c r="K192" t="str">
        <f>"Q"&amp;ROUNDUP(MONTH(Table13[[#This Row],[Date]])/3,0)</f>
        <v>Q3</v>
      </c>
    </row>
    <row r="193" spans="1:11" x14ac:dyDescent="0.35">
      <c r="A193" s="4" t="s">
        <v>211</v>
      </c>
      <c r="B193" s="6">
        <v>45213</v>
      </c>
      <c r="C193" s="6" t="str">
        <f>TEXT(Table13[[#This Row],[Date]],"MMM")</f>
        <v>Oct</v>
      </c>
      <c r="D193" s="6" t="str">
        <f>TEXT(Table13[[#This Row],[Date]],"YYYY")</f>
        <v>2023</v>
      </c>
      <c r="E193" s="4" t="s">
        <v>18</v>
      </c>
      <c r="F193" s="4" t="s">
        <v>10</v>
      </c>
      <c r="G193" s="4" t="s">
        <v>21</v>
      </c>
      <c r="H193" s="8">
        <v>662.79</v>
      </c>
      <c r="I193">
        <v>1</v>
      </c>
      <c r="J193" s="8">
        <v>558.41999999999996</v>
      </c>
      <c r="K193" t="str">
        <f>"Q"&amp;ROUNDUP(MONTH(Table13[[#This Row],[Date]])/3,0)</f>
        <v>Q4</v>
      </c>
    </row>
    <row r="194" spans="1:11" x14ac:dyDescent="0.35">
      <c r="A194" s="4" t="s">
        <v>212</v>
      </c>
      <c r="B194" s="6">
        <v>45298</v>
      </c>
      <c r="C194" s="6" t="str">
        <f>TEXT(Table13[[#This Row],[Date]],"MMM")</f>
        <v>Jan</v>
      </c>
      <c r="D194" s="6" t="str">
        <f>TEXT(Table13[[#This Row],[Date]],"YYYY")</f>
        <v>2024</v>
      </c>
      <c r="E194" s="4" t="s">
        <v>18</v>
      </c>
      <c r="F194" s="4" t="s">
        <v>10</v>
      </c>
      <c r="G194" s="4" t="s">
        <v>19</v>
      </c>
      <c r="H194" s="8">
        <v>1957.99</v>
      </c>
      <c r="I194">
        <v>2</v>
      </c>
      <c r="J194" s="8">
        <v>785.12</v>
      </c>
      <c r="K194" t="str">
        <f>"Q"&amp;ROUNDUP(MONTH(Table13[[#This Row],[Date]])/3,0)</f>
        <v>Q1</v>
      </c>
    </row>
    <row r="195" spans="1:11" x14ac:dyDescent="0.35">
      <c r="A195" s="4" t="s">
        <v>213</v>
      </c>
      <c r="B195" s="6">
        <v>44989</v>
      </c>
      <c r="C195" s="6" t="str">
        <f>TEXT(Table13[[#This Row],[Date]],"MMM")</f>
        <v>Mar</v>
      </c>
      <c r="D195" s="6" t="str">
        <f>TEXT(Table13[[#This Row],[Date]],"YYYY")</f>
        <v>2023</v>
      </c>
      <c r="E195" s="4" t="s">
        <v>9</v>
      </c>
      <c r="F195" s="4" t="s">
        <v>10</v>
      </c>
      <c r="G195" s="4" t="s">
        <v>26</v>
      </c>
      <c r="H195" s="8">
        <v>2448.56</v>
      </c>
      <c r="I195">
        <v>7</v>
      </c>
      <c r="J195" s="8">
        <v>235.19</v>
      </c>
      <c r="K195" t="str">
        <f>"Q"&amp;ROUNDUP(MONTH(Table13[[#This Row],[Date]])/3,0)</f>
        <v>Q1</v>
      </c>
    </row>
    <row r="196" spans="1:11" x14ac:dyDescent="0.35">
      <c r="A196" s="4" t="s">
        <v>214</v>
      </c>
      <c r="B196" s="6">
        <v>45605</v>
      </c>
      <c r="C196" s="6" t="str">
        <f>TEXT(Table13[[#This Row],[Date]],"MMM")</f>
        <v>Nov</v>
      </c>
      <c r="D196" s="6" t="str">
        <f>TEXT(Table13[[#This Row],[Date]],"YYYY")</f>
        <v>2024</v>
      </c>
      <c r="E196" s="4" t="s">
        <v>18</v>
      </c>
      <c r="F196" s="4" t="s">
        <v>10</v>
      </c>
      <c r="G196" s="4" t="s">
        <v>11</v>
      </c>
      <c r="H196" s="8">
        <v>2787.66</v>
      </c>
      <c r="I196">
        <v>4</v>
      </c>
      <c r="J196" s="8">
        <v>520.53</v>
      </c>
      <c r="K196" t="str">
        <f>"Q"&amp;ROUNDUP(MONTH(Table13[[#This Row],[Date]])/3,0)</f>
        <v>Q4</v>
      </c>
    </row>
    <row r="197" spans="1:11" x14ac:dyDescent="0.35">
      <c r="A197" s="4" t="s">
        <v>215</v>
      </c>
      <c r="B197" s="6">
        <v>45268</v>
      </c>
      <c r="C197" s="6" t="str">
        <f>TEXT(Table13[[#This Row],[Date]],"MMM")</f>
        <v>Dec</v>
      </c>
      <c r="D197" s="6" t="str">
        <f>TEXT(Table13[[#This Row],[Date]],"YYYY")</f>
        <v>2023</v>
      </c>
      <c r="E197" s="4" t="s">
        <v>13</v>
      </c>
      <c r="F197" s="4" t="s">
        <v>10</v>
      </c>
      <c r="G197" s="4" t="s">
        <v>11</v>
      </c>
      <c r="H197" s="8">
        <v>4477.9799999999996</v>
      </c>
      <c r="I197">
        <v>4</v>
      </c>
      <c r="J197" s="8">
        <v>791.28</v>
      </c>
      <c r="K197" t="str">
        <f>"Q"&amp;ROUNDUP(MONTH(Table13[[#This Row],[Date]])/3,0)</f>
        <v>Q4</v>
      </c>
    </row>
    <row r="198" spans="1:11" x14ac:dyDescent="0.35">
      <c r="A198" s="4" t="s">
        <v>216</v>
      </c>
      <c r="B198" s="6">
        <v>45494</v>
      </c>
      <c r="C198" s="6" t="str">
        <f>TEXT(Table13[[#This Row],[Date]],"MMM")</f>
        <v>Jul</v>
      </c>
      <c r="D198" s="6" t="str">
        <f>TEXT(Table13[[#This Row],[Date]],"YYYY")</f>
        <v>2024</v>
      </c>
      <c r="E198" s="4" t="s">
        <v>15</v>
      </c>
      <c r="F198" s="4" t="s">
        <v>16</v>
      </c>
      <c r="G198" s="4" t="s">
        <v>11</v>
      </c>
      <c r="H198" s="8">
        <v>2721.49</v>
      </c>
      <c r="I198">
        <v>4</v>
      </c>
      <c r="J198" s="8">
        <v>477.38</v>
      </c>
      <c r="K198" t="str">
        <f>"Q"&amp;ROUNDUP(MONTH(Table13[[#This Row],[Date]])/3,0)</f>
        <v>Q3</v>
      </c>
    </row>
    <row r="199" spans="1:11" x14ac:dyDescent="0.35">
      <c r="A199" s="4" t="s">
        <v>217</v>
      </c>
      <c r="B199" s="6">
        <v>45078</v>
      </c>
      <c r="C199" s="6" t="str">
        <f>TEXT(Table13[[#This Row],[Date]],"MMM")</f>
        <v>Jun</v>
      </c>
      <c r="D199" s="6" t="str">
        <f>TEXT(Table13[[#This Row],[Date]],"YYYY")</f>
        <v>2023</v>
      </c>
      <c r="E199" s="4" t="s">
        <v>15</v>
      </c>
      <c r="F199" s="4" t="s">
        <v>16</v>
      </c>
      <c r="G199" s="4" t="s">
        <v>26</v>
      </c>
      <c r="H199" s="8">
        <v>320.57</v>
      </c>
      <c r="I199">
        <v>10</v>
      </c>
      <c r="J199" s="8">
        <v>22.21</v>
      </c>
      <c r="K199" t="str">
        <f>"Q"&amp;ROUNDUP(MONTH(Table13[[#This Row],[Date]])/3,0)</f>
        <v>Q2</v>
      </c>
    </row>
    <row r="200" spans="1:11" x14ac:dyDescent="0.35">
      <c r="A200" s="4" t="s">
        <v>218</v>
      </c>
      <c r="B200" s="6">
        <v>45480</v>
      </c>
      <c r="C200" s="6" t="str">
        <f>TEXT(Table13[[#This Row],[Date]],"MMM")</f>
        <v>Jul</v>
      </c>
      <c r="D200" s="6" t="str">
        <f>TEXT(Table13[[#This Row],[Date]],"YYYY")</f>
        <v>2024</v>
      </c>
      <c r="E200" s="4" t="s">
        <v>15</v>
      </c>
      <c r="F200" s="4" t="s">
        <v>16</v>
      </c>
      <c r="G200" s="4" t="s">
        <v>19</v>
      </c>
      <c r="H200" s="8">
        <v>3676.95</v>
      </c>
      <c r="I200">
        <v>5</v>
      </c>
      <c r="J200" s="8">
        <v>642.84</v>
      </c>
      <c r="K200" t="str">
        <f>"Q"&amp;ROUNDUP(MONTH(Table13[[#This Row],[Date]])/3,0)</f>
        <v>Q3</v>
      </c>
    </row>
    <row r="201" spans="1:11" x14ac:dyDescent="0.35">
      <c r="A201" s="4" t="s">
        <v>219</v>
      </c>
      <c r="B201" s="6">
        <v>44942</v>
      </c>
      <c r="C201" s="6" t="str">
        <f>TEXT(Table13[[#This Row],[Date]],"MMM")</f>
        <v>Jan</v>
      </c>
      <c r="D201" s="6" t="str">
        <f>TEXT(Table13[[#This Row],[Date]],"YYYY")</f>
        <v>2023</v>
      </c>
      <c r="E201" s="4" t="s">
        <v>13</v>
      </c>
      <c r="F201" s="4" t="s">
        <v>10</v>
      </c>
      <c r="G201" s="4" t="s">
        <v>19</v>
      </c>
      <c r="H201" s="8">
        <v>4562.1400000000003</v>
      </c>
      <c r="I201">
        <v>6</v>
      </c>
      <c r="J201" s="8">
        <v>636.19000000000005</v>
      </c>
      <c r="K201" t="str">
        <f>"Q"&amp;ROUNDUP(MONTH(Table13[[#This Row],[Date]])/3,0)</f>
        <v>Q1</v>
      </c>
    </row>
    <row r="202" spans="1:11" x14ac:dyDescent="0.35">
      <c r="A202" s="4" t="s">
        <v>220</v>
      </c>
      <c r="B202" s="6">
        <v>45105</v>
      </c>
      <c r="C202" s="6" t="str">
        <f>TEXT(Table13[[#This Row],[Date]],"MMM")</f>
        <v>Jun</v>
      </c>
      <c r="D202" s="6" t="str">
        <f>TEXT(Table13[[#This Row],[Date]],"YYYY")</f>
        <v>2023</v>
      </c>
      <c r="E202" s="4" t="s">
        <v>23</v>
      </c>
      <c r="F202" s="4" t="s">
        <v>16</v>
      </c>
      <c r="G202" s="4" t="s">
        <v>11</v>
      </c>
      <c r="H202" s="8">
        <v>425.08</v>
      </c>
      <c r="I202">
        <v>5</v>
      </c>
      <c r="J202" s="8">
        <v>60.87</v>
      </c>
      <c r="K202" t="str">
        <f>"Q"&amp;ROUNDUP(MONTH(Table13[[#This Row],[Date]])/3,0)</f>
        <v>Q2</v>
      </c>
    </row>
    <row r="203" spans="1:11" x14ac:dyDescent="0.35">
      <c r="A203" s="4" t="s">
        <v>221</v>
      </c>
      <c r="B203" s="6">
        <v>44992</v>
      </c>
      <c r="C203" s="6" t="str">
        <f>TEXT(Table13[[#This Row],[Date]],"MMM")</f>
        <v>Mar</v>
      </c>
      <c r="D203" s="6" t="str">
        <f>TEXT(Table13[[#This Row],[Date]],"YYYY")</f>
        <v>2023</v>
      </c>
      <c r="E203" s="4" t="s">
        <v>25</v>
      </c>
      <c r="F203" s="4" t="s">
        <v>16</v>
      </c>
      <c r="G203" s="4" t="s">
        <v>11</v>
      </c>
      <c r="H203" s="8">
        <v>3681.17</v>
      </c>
      <c r="I203">
        <v>8</v>
      </c>
      <c r="J203" s="8">
        <v>369.65</v>
      </c>
      <c r="K203" t="str">
        <f>"Q"&amp;ROUNDUP(MONTH(Table13[[#This Row],[Date]])/3,0)</f>
        <v>Q1</v>
      </c>
    </row>
    <row r="204" spans="1:11" x14ac:dyDescent="0.35">
      <c r="A204" s="4" t="s">
        <v>222</v>
      </c>
      <c r="B204" s="6">
        <v>45389</v>
      </c>
      <c r="C204" s="6" t="str">
        <f>TEXT(Table13[[#This Row],[Date]],"MMM")</f>
        <v>Apr</v>
      </c>
      <c r="D204" s="6" t="str">
        <f>TEXT(Table13[[#This Row],[Date]],"YYYY")</f>
        <v>2024</v>
      </c>
      <c r="E204" s="4" t="s">
        <v>25</v>
      </c>
      <c r="F204" s="4" t="s">
        <v>16</v>
      </c>
      <c r="G204" s="4" t="s">
        <v>11</v>
      </c>
      <c r="H204" s="8">
        <v>2335.77</v>
      </c>
      <c r="I204">
        <v>9</v>
      </c>
      <c r="J204" s="8">
        <v>192.81</v>
      </c>
      <c r="K204" t="str">
        <f>"Q"&amp;ROUNDUP(MONTH(Table13[[#This Row],[Date]])/3,0)</f>
        <v>Q2</v>
      </c>
    </row>
    <row r="205" spans="1:11" x14ac:dyDescent="0.35">
      <c r="A205" s="4" t="s">
        <v>223</v>
      </c>
      <c r="B205" s="6">
        <v>45396</v>
      </c>
      <c r="C205" s="6" t="str">
        <f>TEXT(Table13[[#This Row],[Date]],"MMM")</f>
        <v>Apr</v>
      </c>
      <c r="D205" s="6" t="str">
        <f>TEXT(Table13[[#This Row],[Date]],"YYYY")</f>
        <v>2024</v>
      </c>
      <c r="E205" s="4" t="s">
        <v>9</v>
      </c>
      <c r="F205" s="4" t="s">
        <v>10</v>
      </c>
      <c r="G205" s="4" t="s">
        <v>26</v>
      </c>
      <c r="H205" s="8">
        <v>87.11</v>
      </c>
      <c r="I205">
        <v>1</v>
      </c>
      <c r="J205" s="8">
        <v>67.44</v>
      </c>
      <c r="K205" t="str">
        <f>"Q"&amp;ROUNDUP(MONTH(Table13[[#This Row],[Date]])/3,0)</f>
        <v>Q2</v>
      </c>
    </row>
    <row r="206" spans="1:11" x14ac:dyDescent="0.35">
      <c r="A206" s="4" t="s">
        <v>224</v>
      </c>
      <c r="B206" s="6">
        <v>45629</v>
      </c>
      <c r="C206" s="6" t="str">
        <f>TEXT(Table13[[#This Row],[Date]],"MMM")</f>
        <v>Dec</v>
      </c>
      <c r="D206" s="6" t="str">
        <f>TEXT(Table13[[#This Row],[Date]],"YYYY")</f>
        <v>2024</v>
      </c>
      <c r="E206" s="4" t="s">
        <v>18</v>
      </c>
      <c r="F206" s="4" t="s">
        <v>10</v>
      </c>
      <c r="G206" s="4" t="s">
        <v>21</v>
      </c>
      <c r="H206" s="8">
        <v>1178.1600000000001</v>
      </c>
      <c r="I206">
        <v>2</v>
      </c>
      <c r="J206" s="8">
        <v>402.41</v>
      </c>
      <c r="K206" t="str">
        <f>"Q"&amp;ROUNDUP(MONTH(Table13[[#This Row],[Date]])/3,0)</f>
        <v>Q4</v>
      </c>
    </row>
    <row r="207" spans="1:11" x14ac:dyDescent="0.35">
      <c r="A207" s="4" t="s">
        <v>225</v>
      </c>
      <c r="B207" s="6">
        <v>45256</v>
      </c>
      <c r="C207" s="6" t="str">
        <f>TEXT(Table13[[#This Row],[Date]],"MMM")</f>
        <v>Nov</v>
      </c>
      <c r="D207" s="6" t="str">
        <f>TEXT(Table13[[#This Row],[Date]],"YYYY")</f>
        <v>2023</v>
      </c>
      <c r="E207" s="4" t="s">
        <v>13</v>
      </c>
      <c r="F207" s="4" t="s">
        <v>10</v>
      </c>
      <c r="G207" s="4" t="s">
        <v>11</v>
      </c>
      <c r="H207" s="8">
        <v>1561.2</v>
      </c>
      <c r="I207">
        <v>10</v>
      </c>
      <c r="J207" s="8">
        <v>135.69999999999999</v>
      </c>
      <c r="K207" t="str">
        <f>"Q"&amp;ROUNDUP(MONTH(Table13[[#This Row],[Date]])/3,0)</f>
        <v>Q4</v>
      </c>
    </row>
    <row r="208" spans="1:11" x14ac:dyDescent="0.35">
      <c r="A208" s="4" t="s">
        <v>226</v>
      </c>
      <c r="B208" s="6">
        <v>45317</v>
      </c>
      <c r="C208" s="6" t="str">
        <f>TEXT(Table13[[#This Row],[Date]],"MMM")</f>
        <v>Jan</v>
      </c>
      <c r="D208" s="6" t="str">
        <f>TEXT(Table13[[#This Row],[Date]],"YYYY")</f>
        <v>2024</v>
      </c>
      <c r="E208" s="4" t="s">
        <v>25</v>
      </c>
      <c r="F208" s="4" t="s">
        <v>16</v>
      </c>
      <c r="G208" s="4" t="s">
        <v>26</v>
      </c>
      <c r="H208" s="8">
        <v>5559.47</v>
      </c>
      <c r="I208">
        <v>10</v>
      </c>
      <c r="J208" s="8">
        <v>433.83</v>
      </c>
      <c r="K208" t="str">
        <f>"Q"&amp;ROUNDUP(MONTH(Table13[[#This Row],[Date]])/3,0)</f>
        <v>Q1</v>
      </c>
    </row>
    <row r="209" spans="1:11" x14ac:dyDescent="0.35">
      <c r="A209" s="4" t="s">
        <v>227</v>
      </c>
      <c r="B209" s="6">
        <v>45028</v>
      </c>
      <c r="C209" s="6" t="str">
        <f>TEXT(Table13[[#This Row],[Date]],"MMM")</f>
        <v>Apr</v>
      </c>
      <c r="D209" s="6" t="str">
        <f>TEXT(Table13[[#This Row],[Date]],"YYYY")</f>
        <v>2023</v>
      </c>
      <c r="E209" s="4" t="s">
        <v>25</v>
      </c>
      <c r="F209" s="4" t="s">
        <v>16</v>
      </c>
      <c r="G209" s="4" t="s">
        <v>21</v>
      </c>
      <c r="H209" s="8">
        <v>1864.19</v>
      </c>
      <c r="I209">
        <v>2</v>
      </c>
      <c r="J209" s="8">
        <v>685.18</v>
      </c>
      <c r="K209" t="str">
        <f>"Q"&amp;ROUNDUP(MONTH(Table13[[#This Row],[Date]])/3,0)</f>
        <v>Q2</v>
      </c>
    </row>
    <row r="210" spans="1:11" x14ac:dyDescent="0.35">
      <c r="A210" s="4" t="s">
        <v>228</v>
      </c>
      <c r="B210" s="6">
        <v>45367</v>
      </c>
      <c r="C210" s="6" t="str">
        <f>TEXT(Table13[[#This Row],[Date]],"MMM")</f>
        <v>Mar</v>
      </c>
      <c r="D210" s="6" t="str">
        <f>TEXT(Table13[[#This Row],[Date]],"YYYY")</f>
        <v>2024</v>
      </c>
      <c r="E210" s="4" t="s">
        <v>25</v>
      </c>
      <c r="F210" s="4" t="s">
        <v>16</v>
      </c>
      <c r="G210" s="4" t="s">
        <v>19</v>
      </c>
      <c r="H210" s="8">
        <v>7215.62</v>
      </c>
      <c r="I210">
        <v>8</v>
      </c>
      <c r="J210" s="8">
        <v>712.71</v>
      </c>
      <c r="K210" t="str">
        <f>"Q"&amp;ROUNDUP(MONTH(Table13[[#This Row],[Date]])/3,0)</f>
        <v>Q1</v>
      </c>
    </row>
    <row r="211" spans="1:11" x14ac:dyDescent="0.35">
      <c r="A211" s="4" t="s">
        <v>229</v>
      </c>
      <c r="B211" s="6">
        <v>45352</v>
      </c>
      <c r="C211" s="6" t="str">
        <f>TEXT(Table13[[#This Row],[Date]],"MMM")</f>
        <v>Mar</v>
      </c>
      <c r="D211" s="6" t="str">
        <f>TEXT(Table13[[#This Row],[Date]],"YYYY")</f>
        <v>2024</v>
      </c>
      <c r="E211" s="4" t="s">
        <v>18</v>
      </c>
      <c r="F211" s="4" t="s">
        <v>10</v>
      </c>
      <c r="G211" s="4" t="s">
        <v>21</v>
      </c>
      <c r="H211" s="8">
        <v>646.29</v>
      </c>
      <c r="I211">
        <v>2</v>
      </c>
      <c r="J211" s="8">
        <v>263.79000000000002</v>
      </c>
      <c r="K211" t="str">
        <f>"Q"&amp;ROUNDUP(MONTH(Table13[[#This Row],[Date]])/3,0)</f>
        <v>Q1</v>
      </c>
    </row>
    <row r="212" spans="1:11" x14ac:dyDescent="0.35">
      <c r="A212" s="4" t="s">
        <v>230</v>
      </c>
      <c r="B212" s="6">
        <v>45083</v>
      </c>
      <c r="C212" s="6" t="str">
        <f>TEXT(Table13[[#This Row],[Date]],"MMM")</f>
        <v>Jun</v>
      </c>
      <c r="D212" s="6" t="str">
        <f>TEXT(Table13[[#This Row],[Date]],"YYYY")</f>
        <v>2023</v>
      </c>
      <c r="E212" s="4" t="s">
        <v>23</v>
      </c>
      <c r="F212" s="4" t="s">
        <v>16</v>
      </c>
      <c r="G212" s="4" t="s">
        <v>26</v>
      </c>
      <c r="H212" s="8">
        <v>829.37</v>
      </c>
      <c r="I212">
        <v>8</v>
      </c>
      <c r="J212" s="8">
        <v>72.36</v>
      </c>
      <c r="K212" t="str">
        <f>"Q"&amp;ROUNDUP(MONTH(Table13[[#This Row],[Date]])/3,0)</f>
        <v>Q2</v>
      </c>
    </row>
    <row r="213" spans="1:11" x14ac:dyDescent="0.35">
      <c r="A213" s="4" t="s">
        <v>231</v>
      </c>
      <c r="B213" s="6">
        <v>45025</v>
      </c>
      <c r="C213" s="6" t="str">
        <f>TEXT(Table13[[#This Row],[Date]],"MMM")</f>
        <v>Apr</v>
      </c>
      <c r="D213" s="6" t="str">
        <f>TEXT(Table13[[#This Row],[Date]],"YYYY")</f>
        <v>2023</v>
      </c>
      <c r="E213" s="4" t="s">
        <v>13</v>
      </c>
      <c r="F213" s="4" t="s">
        <v>10</v>
      </c>
      <c r="G213" s="4" t="s">
        <v>21</v>
      </c>
      <c r="H213" s="8">
        <v>5183.17</v>
      </c>
      <c r="I213">
        <v>6</v>
      </c>
      <c r="J213" s="8">
        <v>653.17999999999995</v>
      </c>
      <c r="K213" t="str">
        <f>"Q"&amp;ROUNDUP(MONTH(Table13[[#This Row],[Date]])/3,0)</f>
        <v>Q2</v>
      </c>
    </row>
    <row r="214" spans="1:11" x14ac:dyDescent="0.35">
      <c r="A214" s="4" t="s">
        <v>232</v>
      </c>
      <c r="B214" s="6">
        <v>45613</v>
      </c>
      <c r="C214" s="6" t="str">
        <f>TEXT(Table13[[#This Row],[Date]],"MMM")</f>
        <v>Nov</v>
      </c>
      <c r="D214" s="6" t="str">
        <f>TEXT(Table13[[#This Row],[Date]],"YYYY")</f>
        <v>2024</v>
      </c>
      <c r="E214" s="4" t="s">
        <v>25</v>
      </c>
      <c r="F214" s="4" t="s">
        <v>16</v>
      </c>
      <c r="G214" s="4" t="s">
        <v>26</v>
      </c>
      <c r="H214" s="8">
        <v>986.87</v>
      </c>
      <c r="I214">
        <v>2</v>
      </c>
      <c r="J214" s="8">
        <v>340.43</v>
      </c>
      <c r="K214" t="str">
        <f>"Q"&amp;ROUNDUP(MONTH(Table13[[#This Row],[Date]])/3,0)</f>
        <v>Q4</v>
      </c>
    </row>
    <row r="215" spans="1:11" x14ac:dyDescent="0.35">
      <c r="A215" s="4" t="s">
        <v>233</v>
      </c>
      <c r="B215" s="6">
        <v>45221</v>
      </c>
      <c r="C215" s="6" t="str">
        <f>TEXT(Table13[[#This Row],[Date]],"MMM")</f>
        <v>Oct</v>
      </c>
      <c r="D215" s="6" t="str">
        <f>TEXT(Table13[[#This Row],[Date]],"YYYY")</f>
        <v>2023</v>
      </c>
      <c r="E215" s="4" t="s">
        <v>18</v>
      </c>
      <c r="F215" s="4" t="s">
        <v>10</v>
      </c>
      <c r="G215" s="4" t="s">
        <v>11</v>
      </c>
      <c r="H215" s="8">
        <v>3010.09</v>
      </c>
      <c r="I215">
        <v>10</v>
      </c>
      <c r="J215" s="8">
        <v>263.70999999999998</v>
      </c>
      <c r="K215" t="str">
        <f>"Q"&amp;ROUNDUP(MONTH(Table13[[#This Row],[Date]])/3,0)</f>
        <v>Q4</v>
      </c>
    </row>
    <row r="216" spans="1:11" x14ac:dyDescent="0.35">
      <c r="A216" s="4" t="s">
        <v>234</v>
      </c>
      <c r="B216" s="6">
        <v>45085</v>
      </c>
      <c r="C216" s="6" t="str">
        <f>TEXT(Table13[[#This Row],[Date]],"MMM")</f>
        <v>Jun</v>
      </c>
      <c r="D216" s="6" t="str">
        <f>TEXT(Table13[[#This Row],[Date]],"YYYY")</f>
        <v>2023</v>
      </c>
      <c r="E216" s="4" t="s">
        <v>25</v>
      </c>
      <c r="F216" s="4" t="s">
        <v>16</v>
      </c>
      <c r="G216" s="4" t="s">
        <v>19</v>
      </c>
      <c r="H216" s="8">
        <v>1782.71</v>
      </c>
      <c r="I216">
        <v>8</v>
      </c>
      <c r="J216" s="8">
        <v>194.91</v>
      </c>
      <c r="K216" t="str">
        <f>"Q"&amp;ROUNDUP(MONTH(Table13[[#This Row],[Date]])/3,0)</f>
        <v>Q2</v>
      </c>
    </row>
    <row r="217" spans="1:11" x14ac:dyDescent="0.35">
      <c r="A217" s="4" t="s">
        <v>235</v>
      </c>
      <c r="B217" s="6">
        <v>45044</v>
      </c>
      <c r="C217" s="6" t="str">
        <f>TEXT(Table13[[#This Row],[Date]],"MMM")</f>
        <v>Apr</v>
      </c>
      <c r="D217" s="6" t="str">
        <f>TEXT(Table13[[#This Row],[Date]],"YYYY")</f>
        <v>2023</v>
      </c>
      <c r="E217" s="4" t="s">
        <v>25</v>
      </c>
      <c r="F217" s="4" t="s">
        <v>16</v>
      </c>
      <c r="G217" s="4" t="s">
        <v>26</v>
      </c>
      <c r="H217" s="8">
        <v>3328.14</v>
      </c>
      <c r="I217">
        <v>5</v>
      </c>
      <c r="J217" s="8">
        <v>467.8</v>
      </c>
      <c r="K217" t="str">
        <f>"Q"&amp;ROUNDUP(MONTH(Table13[[#This Row],[Date]])/3,0)</f>
        <v>Q2</v>
      </c>
    </row>
    <row r="218" spans="1:11" x14ac:dyDescent="0.35">
      <c r="A218" s="4" t="s">
        <v>236</v>
      </c>
      <c r="B218" s="6">
        <v>45550</v>
      </c>
      <c r="C218" s="6" t="str">
        <f>TEXT(Table13[[#This Row],[Date]],"MMM")</f>
        <v>Sep</v>
      </c>
      <c r="D218" s="6" t="str">
        <f>TEXT(Table13[[#This Row],[Date]],"YYYY")</f>
        <v>2024</v>
      </c>
      <c r="E218" s="4" t="s">
        <v>25</v>
      </c>
      <c r="F218" s="4" t="s">
        <v>16</v>
      </c>
      <c r="G218" s="4" t="s">
        <v>11</v>
      </c>
      <c r="H218" s="8">
        <v>257.45999999999998</v>
      </c>
      <c r="I218">
        <v>5</v>
      </c>
      <c r="J218" s="8">
        <v>42.58</v>
      </c>
      <c r="K218" t="str">
        <f>"Q"&amp;ROUNDUP(MONTH(Table13[[#This Row],[Date]])/3,0)</f>
        <v>Q3</v>
      </c>
    </row>
    <row r="219" spans="1:11" x14ac:dyDescent="0.35">
      <c r="A219" s="4" t="s">
        <v>237</v>
      </c>
      <c r="B219" s="6">
        <v>45286</v>
      </c>
      <c r="C219" s="6" t="str">
        <f>TEXT(Table13[[#This Row],[Date]],"MMM")</f>
        <v>Dec</v>
      </c>
      <c r="D219" s="6" t="str">
        <f>TEXT(Table13[[#This Row],[Date]],"YYYY")</f>
        <v>2023</v>
      </c>
      <c r="E219" s="4" t="s">
        <v>23</v>
      </c>
      <c r="F219" s="4" t="s">
        <v>16</v>
      </c>
      <c r="G219" s="4" t="s">
        <v>26</v>
      </c>
      <c r="H219" s="8">
        <v>186.9</v>
      </c>
      <c r="I219">
        <v>1</v>
      </c>
      <c r="J219" s="8">
        <v>161.5</v>
      </c>
      <c r="K219" t="str">
        <f>"Q"&amp;ROUNDUP(MONTH(Table13[[#This Row],[Date]])/3,0)</f>
        <v>Q4</v>
      </c>
    </row>
    <row r="220" spans="1:11" x14ac:dyDescent="0.35">
      <c r="A220" s="4" t="s">
        <v>238</v>
      </c>
      <c r="B220" s="6">
        <v>44998</v>
      </c>
      <c r="C220" s="6" t="str">
        <f>TEXT(Table13[[#This Row],[Date]],"MMM")</f>
        <v>Mar</v>
      </c>
      <c r="D220" s="6" t="str">
        <f>TEXT(Table13[[#This Row],[Date]],"YYYY")</f>
        <v>2023</v>
      </c>
      <c r="E220" s="4" t="s">
        <v>9</v>
      </c>
      <c r="F220" s="4" t="s">
        <v>10</v>
      </c>
      <c r="G220" s="4" t="s">
        <v>21</v>
      </c>
      <c r="H220" s="8">
        <v>2670.59</v>
      </c>
      <c r="I220">
        <v>3</v>
      </c>
      <c r="J220" s="8">
        <v>597.96</v>
      </c>
      <c r="K220" t="str">
        <f>"Q"&amp;ROUNDUP(MONTH(Table13[[#This Row],[Date]])/3,0)</f>
        <v>Q1</v>
      </c>
    </row>
    <row r="221" spans="1:11" x14ac:dyDescent="0.35">
      <c r="A221" s="4" t="s">
        <v>239</v>
      </c>
      <c r="B221" s="6">
        <v>45312</v>
      </c>
      <c r="C221" s="6" t="str">
        <f>TEXT(Table13[[#This Row],[Date]],"MMM")</f>
        <v>Jan</v>
      </c>
      <c r="D221" s="6" t="str">
        <f>TEXT(Table13[[#This Row],[Date]],"YYYY")</f>
        <v>2024</v>
      </c>
      <c r="E221" s="4" t="s">
        <v>13</v>
      </c>
      <c r="F221" s="4" t="s">
        <v>10</v>
      </c>
      <c r="G221" s="4" t="s">
        <v>19</v>
      </c>
      <c r="H221" s="8">
        <v>3043.34</v>
      </c>
      <c r="I221">
        <v>7</v>
      </c>
      <c r="J221" s="8">
        <v>373.84</v>
      </c>
      <c r="K221" t="str">
        <f>"Q"&amp;ROUNDUP(MONTH(Table13[[#This Row],[Date]])/3,0)</f>
        <v>Q1</v>
      </c>
    </row>
    <row r="222" spans="1:11" x14ac:dyDescent="0.35">
      <c r="A222" s="4" t="s">
        <v>240</v>
      </c>
      <c r="B222" s="6">
        <v>45508</v>
      </c>
      <c r="C222" s="6" t="str">
        <f>TEXT(Table13[[#This Row],[Date]],"MMM")</f>
        <v>Aug</v>
      </c>
      <c r="D222" s="6" t="str">
        <f>TEXT(Table13[[#This Row],[Date]],"YYYY")</f>
        <v>2024</v>
      </c>
      <c r="E222" s="4" t="s">
        <v>23</v>
      </c>
      <c r="F222" s="4" t="s">
        <v>16</v>
      </c>
      <c r="G222" s="4" t="s">
        <v>26</v>
      </c>
      <c r="H222" s="8">
        <v>967.12</v>
      </c>
      <c r="I222">
        <v>10</v>
      </c>
      <c r="J222" s="8">
        <v>86.27</v>
      </c>
      <c r="K222" t="str">
        <f>"Q"&amp;ROUNDUP(MONTH(Table13[[#This Row],[Date]])/3,0)</f>
        <v>Q3</v>
      </c>
    </row>
    <row r="223" spans="1:11" x14ac:dyDescent="0.35">
      <c r="A223" s="4" t="s">
        <v>241</v>
      </c>
      <c r="B223" s="6">
        <v>45617</v>
      </c>
      <c r="C223" s="6" t="str">
        <f>TEXT(Table13[[#This Row],[Date]],"MMM")</f>
        <v>Nov</v>
      </c>
      <c r="D223" s="6" t="str">
        <f>TEXT(Table13[[#This Row],[Date]],"YYYY")</f>
        <v>2024</v>
      </c>
      <c r="E223" s="4" t="s">
        <v>15</v>
      </c>
      <c r="F223" s="4" t="s">
        <v>16</v>
      </c>
      <c r="G223" s="4" t="s">
        <v>11</v>
      </c>
      <c r="H223" s="8">
        <v>633.91</v>
      </c>
      <c r="I223">
        <v>2</v>
      </c>
      <c r="J223" s="8">
        <v>232.24</v>
      </c>
      <c r="K223" t="str">
        <f>"Q"&amp;ROUNDUP(MONTH(Table13[[#This Row],[Date]])/3,0)</f>
        <v>Q4</v>
      </c>
    </row>
    <row r="224" spans="1:11" x14ac:dyDescent="0.35">
      <c r="A224" s="4" t="s">
        <v>242</v>
      </c>
      <c r="B224" s="6">
        <v>45351</v>
      </c>
      <c r="C224" s="6" t="str">
        <f>TEXT(Table13[[#This Row],[Date]],"MMM")</f>
        <v>Feb</v>
      </c>
      <c r="D224" s="6" t="str">
        <f>TEXT(Table13[[#This Row],[Date]],"YYYY")</f>
        <v>2024</v>
      </c>
      <c r="E224" s="4" t="s">
        <v>18</v>
      </c>
      <c r="F224" s="4" t="s">
        <v>10</v>
      </c>
      <c r="G224" s="4" t="s">
        <v>21</v>
      </c>
      <c r="H224" s="8">
        <v>1227.56</v>
      </c>
      <c r="I224">
        <v>5</v>
      </c>
      <c r="J224" s="8">
        <v>188.14</v>
      </c>
      <c r="K224" t="str">
        <f>"Q"&amp;ROUNDUP(MONTH(Table13[[#This Row],[Date]])/3,0)</f>
        <v>Q1</v>
      </c>
    </row>
    <row r="225" spans="1:11" x14ac:dyDescent="0.35">
      <c r="A225" s="4" t="s">
        <v>243</v>
      </c>
      <c r="B225" s="6">
        <v>45040</v>
      </c>
      <c r="C225" s="6" t="str">
        <f>TEXT(Table13[[#This Row],[Date]],"MMM")</f>
        <v>Apr</v>
      </c>
      <c r="D225" s="6" t="str">
        <f>TEXT(Table13[[#This Row],[Date]],"YYYY")</f>
        <v>2023</v>
      </c>
      <c r="E225" s="4" t="s">
        <v>23</v>
      </c>
      <c r="F225" s="4" t="s">
        <v>16</v>
      </c>
      <c r="G225" s="4" t="s">
        <v>21</v>
      </c>
      <c r="H225" s="8">
        <v>3670.83</v>
      </c>
      <c r="I225">
        <v>5</v>
      </c>
      <c r="J225" s="8">
        <v>549.01</v>
      </c>
      <c r="K225" t="str">
        <f>"Q"&amp;ROUNDUP(MONTH(Table13[[#This Row],[Date]])/3,0)</f>
        <v>Q2</v>
      </c>
    </row>
    <row r="226" spans="1:11" x14ac:dyDescent="0.35">
      <c r="A226" s="4" t="s">
        <v>244</v>
      </c>
      <c r="B226" s="6">
        <v>44973</v>
      </c>
      <c r="C226" s="6" t="str">
        <f>TEXT(Table13[[#This Row],[Date]],"MMM")</f>
        <v>Feb</v>
      </c>
      <c r="D226" s="6" t="str">
        <f>TEXT(Table13[[#This Row],[Date]],"YYYY")</f>
        <v>2023</v>
      </c>
      <c r="E226" s="4" t="s">
        <v>25</v>
      </c>
      <c r="F226" s="4" t="s">
        <v>16</v>
      </c>
      <c r="G226" s="4" t="s">
        <v>26</v>
      </c>
      <c r="H226" s="8">
        <v>1759.39</v>
      </c>
      <c r="I226">
        <v>4</v>
      </c>
      <c r="J226" s="8">
        <v>328.31</v>
      </c>
      <c r="K226" t="str">
        <f>"Q"&amp;ROUNDUP(MONTH(Table13[[#This Row],[Date]])/3,0)</f>
        <v>Q1</v>
      </c>
    </row>
    <row r="227" spans="1:11" x14ac:dyDescent="0.35">
      <c r="A227" s="4" t="s">
        <v>245</v>
      </c>
      <c r="B227" s="6">
        <v>45235</v>
      </c>
      <c r="C227" s="6" t="str">
        <f>TEXT(Table13[[#This Row],[Date]],"MMM")</f>
        <v>Nov</v>
      </c>
      <c r="D227" s="6" t="str">
        <f>TEXT(Table13[[#This Row],[Date]],"YYYY")</f>
        <v>2023</v>
      </c>
      <c r="E227" s="4" t="s">
        <v>13</v>
      </c>
      <c r="F227" s="4" t="s">
        <v>10</v>
      </c>
      <c r="G227" s="4" t="s">
        <v>19</v>
      </c>
      <c r="H227" s="8">
        <v>3477.78</v>
      </c>
      <c r="I227">
        <v>4</v>
      </c>
      <c r="J227" s="8">
        <v>618.53</v>
      </c>
      <c r="K227" t="str">
        <f>"Q"&amp;ROUNDUP(MONTH(Table13[[#This Row],[Date]])/3,0)</f>
        <v>Q4</v>
      </c>
    </row>
    <row r="228" spans="1:11" x14ac:dyDescent="0.35">
      <c r="A228" s="4" t="s">
        <v>246</v>
      </c>
      <c r="B228" s="6">
        <v>45049</v>
      </c>
      <c r="C228" s="6" t="str">
        <f>TEXT(Table13[[#This Row],[Date]],"MMM")</f>
        <v>May</v>
      </c>
      <c r="D228" s="6" t="str">
        <f>TEXT(Table13[[#This Row],[Date]],"YYYY")</f>
        <v>2023</v>
      </c>
      <c r="E228" s="4" t="s">
        <v>23</v>
      </c>
      <c r="F228" s="4" t="s">
        <v>16</v>
      </c>
      <c r="G228" s="4" t="s">
        <v>26</v>
      </c>
      <c r="H228" s="8">
        <v>519.03</v>
      </c>
      <c r="I228">
        <v>1</v>
      </c>
      <c r="J228" s="8">
        <v>407.96</v>
      </c>
      <c r="K228" t="str">
        <f>"Q"&amp;ROUNDUP(MONTH(Table13[[#This Row],[Date]])/3,0)</f>
        <v>Q2</v>
      </c>
    </row>
    <row r="229" spans="1:11" x14ac:dyDescent="0.35">
      <c r="A229" s="4" t="s">
        <v>247</v>
      </c>
      <c r="B229" s="6">
        <v>45472</v>
      </c>
      <c r="C229" s="6" t="str">
        <f>TEXT(Table13[[#This Row],[Date]],"MMM")</f>
        <v>Jun</v>
      </c>
      <c r="D229" s="6" t="str">
        <f>TEXT(Table13[[#This Row],[Date]],"YYYY")</f>
        <v>2024</v>
      </c>
      <c r="E229" s="4" t="s">
        <v>15</v>
      </c>
      <c r="F229" s="4" t="s">
        <v>16</v>
      </c>
      <c r="G229" s="4" t="s">
        <v>21</v>
      </c>
      <c r="H229" s="8">
        <v>2351.83</v>
      </c>
      <c r="I229">
        <v>4</v>
      </c>
      <c r="J229" s="8">
        <v>410.2</v>
      </c>
      <c r="K229" t="str">
        <f>"Q"&amp;ROUNDUP(MONTH(Table13[[#This Row],[Date]])/3,0)</f>
        <v>Q2</v>
      </c>
    </row>
    <row r="230" spans="1:11" x14ac:dyDescent="0.35">
      <c r="A230" s="4" t="s">
        <v>248</v>
      </c>
      <c r="B230" s="6">
        <v>45333</v>
      </c>
      <c r="C230" s="6" t="str">
        <f>TEXT(Table13[[#This Row],[Date]],"MMM")</f>
        <v>Feb</v>
      </c>
      <c r="D230" s="6" t="str">
        <f>TEXT(Table13[[#This Row],[Date]],"YYYY")</f>
        <v>2024</v>
      </c>
      <c r="E230" s="4" t="s">
        <v>23</v>
      </c>
      <c r="F230" s="4" t="s">
        <v>16</v>
      </c>
      <c r="G230" s="4" t="s">
        <v>11</v>
      </c>
      <c r="H230" s="8">
        <v>462.53</v>
      </c>
      <c r="I230">
        <v>1</v>
      </c>
      <c r="J230" s="8">
        <v>360.25</v>
      </c>
      <c r="K230" t="str">
        <f>"Q"&amp;ROUNDUP(MONTH(Table13[[#This Row],[Date]])/3,0)</f>
        <v>Q1</v>
      </c>
    </row>
    <row r="231" spans="1:11" x14ac:dyDescent="0.35">
      <c r="A231" s="4" t="s">
        <v>249</v>
      </c>
      <c r="B231" s="6">
        <v>45516</v>
      </c>
      <c r="C231" s="6" t="str">
        <f>TEXT(Table13[[#This Row],[Date]],"MMM")</f>
        <v>Aug</v>
      </c>
      <c r="D231" s="6" t="str">
        <f>TEXT(Table13[[#This Row],[Date]],"YYYY")</f>
        <v>2024</v>
      </c>
      <c r="E231" s="4" t="s">
        <v>13</v>
      </c>
      <c r="F231" s="4" t="s">
        <v>10</v>
      </c>
      <c r="G231" s="4" t="s">
        <v>26</v>
      </c>
      <c r="H231" s="8">
        <v>4526.0600000000004</v>
      </c>
      <c r="I231">
        <v>7</v>
      </c>
      <c r="J231" s="8">
        <v>467.25</v>
      </c>
      <c r="K231" t="str">
        <f>"Q"&amp;ROUNDUP(MONTH(Table13[[#This Row],[Date]])/3,0)</f>
        <v>Q3</v>
      </c>
    </row>
    <row r="232" spans="1:11" x14ac:dyDescent="0.35">
      <c r="A232" s="4" t="s">
        <v>250</v>
      </c>
      <c r="B232" s="6">
        <v>45044</v>
      </c>
      <c r="C232" s="6" t="str">
        <f>TEXT(Table13[[#This Row],[Date]],"MMM")</f>
        <v>Apr</v>
      </c>
      <c r="D232" s="6" t="str">
        <f>TEXT(Table13[[#This Row],[Date]],"YYYY")</f>
        <v>2023</v>
      </c>
      <c r="E232" s="4" t="s">
        <v>18</v>
      </c>
      <c r="F232" s="4" t="s">
        <v>10</v>
      </c>
      <c r="G232" s="4" t="s">
        <v>26</v>
      </c>
      <c r="H232" s="8">
        <v>312.26</v>
      </c>
      <c r="I232">
        <v>7</v>
      </c>
      <c r="J232" s="8">
        <v>36.270000000000003</v>
      </c>
      <c r="K232" t="str">
        <f>"Q"&amp;ROUNDUP(MONTH(Table13[[#This Row],[Date]])/3,0)</f>
        <v>Q2</v>
      </c>
    </row>
    <row r="233" spans="1:11" x14ac:dyDescent="0.35">
      <c r="A233" s="4" t="s">
        <v>251</v>
      </c>
      <c r="B233" s="6">
        <v>45633</v>
      </c>
      <c r="C233" s="6" t="str">
        <f>TEXT(Table13[[#This Row],[Date]],"MMM")</f>
        <v>Dec</v>
      </c>
      <c r="D233" s="6" t="str">
        <f>TEXT(Table13[[#This Row],[Date]],"YYYY")</f>
        <v>2024</v>
      </c>
      <c r="E233" s="4" t="s">
        <v>25</v>
      </c>
      <c r="F233" s="4" t="s">
        <v>16</v>
      </c>
      <c r="G233" s="4" t="s">
        <v>21</v>
      </c>
      <c r="H233" s="8">
        <v>765.54</v>
      </c>
      <c r="I233">
        <v>6</v>
      </c>
      <c r="J233" s="8">
        <v>88.74</v>
      </c>
      <c r="K233" t="str">
        <f>"Q"&amp;ROUNDUP(MONTH(Table13[[#This Row],[Date]])/3,0)</f>
        <v>Q4</v>
      </c>
    </row>
    <row r="234" spans="1:11" x14ac:dyDescent="0.35">
      <c r="A234" s="4" t="s">
        <v>252</v>
      </c>
      <c r="B234" s="6">
        <v>45530</v>
      </c>
      <c r="C234" s="6" t="str">
        <f>TEXT(Table13[[#This Row],[Date]],"MMM")</f>
        <v>Aug</v>
      </c>
      <c r="D234" s="6" t="str">
        <f>TEXT(Table13[[#This Row],[Date]],"YYYY")</f>
        <v>2024</v>
      </c>
      <c r="E234" s="4" t="s">
        <v>15</v>
      </c>
      <c r="F234" s="4" t="s">
        <v>16</v>
      </c>
      <c r="G234" s="4" t="s">
        <v>21</v>
      </c>
      <c r="H234" s="8">
        <v>3775.96</v>
      </c>
      <c r="I234">
        <v>7</v>
      </c>
      <c r="J234" s="8">
        <v>428.69</v>
      </c>
      <c r="K234" t="str">
        <f>"Q"&amp;ROUNDUP(MONTH(Table13[[#This Row],[Date]])/3,0)</f>
        <v>Q3</v>
      </c>
    </row>
    <row r="235" spans="1:11" x14ac:dyDescent="0.35">
      <c r="A235" s="4" t="s">
        <v>253</v>
      </c>
      <c r="B235" s="6">
        <v>45153</v>
      </c>
      <c r="C235" s="6" t="str">
        <f>TEXT(Table13[[#This Row],[Date]],"MMM")</f>
        <v>Aug</v>
      </c>
      <c r="D235" s="6" t="str">
        <f>TEXT(Table13[[#This Row],[Date]],"YYYY")</f>
        <v>2023</v>
      </c>
      <c r="E235" s="4" t="s">
        <v>23</v>
      </c>
      <c r="F235" s="4" t="s">
        <v>16</v>
      </c>
      <c r="G235" s="4" t="s">
        <v>26</v>
      </c>
      <c r="H235" s="8">
        <v>4257.95</v>
      </c>
      <c r="I235">
        <v>6</v>
      </c>
      <c r="J235" s="8">
        <v>627.71</v>
      </c>
      <c r="K235" t="str">
        <f>"Q"&amp;ROUNDUP(MONTH(Table13[[#This Row],[Date]])/3,0)</f>
        <v>Q3</v>
      </c>
    </row>
    <row r="236" spans="1:11" x14ac:dyDescent="0.35">
      <c r="A236" s="4" t="s">
        <v>254</v>
      </c>
      <c r="B236" s="6">
        <v>45470</v>
      </c>
      <c r="C236" s="6" t="str">
        <f>TEXT(Table13[[#This Row],[Date]],"MMM")</f>
        <v>Jun</v>
      </c>
      <c r="D236" s="6" t="str">
        <f>TEXT(Table13[[#This Row],[Date]],"YYYY")</f>
        <v>2024</v>
      </c>
      <c r="E236" s="4" t="s">
        <v>9</v>
      </c>
      <c r="F236" s="4" t="s">
        <v>10</v>
      </c>
      <c r="G236" s="4" t="s">
        <v>11</v>
      </c>
      <c r="H236" s="8">
        <v>2173.79</v>
      </c>
      <c r="I236">
        <v>9</v>
      </c>
      <c r="J236" s="8">
        <v>171.24</v>
      </c>
      <c r="K236" t="str">
        <f>"Q"&amp;ROUNDUP(MONTH(Table13[[#This Row],[Date]])/3,0)</f>
        <v>Q2</v>
      </c>
    </row>
    <row r="237" spans="1:11" x14ac:dyDescent="0.35">
      <c r="A237" s="4" t="s">
        <v>255</v>
      </c>
      <c r="B237" s="6">
        <v>45168</v>
      </c>
      <c r="C237" s="6" t="str">
        <f>TEXT(Table13[[#This Row],[Date]],"MMM")</f>
        <v>Aug</v>
      </c>
      <c r="D237" s="6" t="str">
        <f>TEXT(Table13[[#This Row],[Date]],"YYYY")</f>
        <v>2023</v>
      </c>
      <c r="E237" s="4" t="s">
        <v>23</v>
      </c>
      <c r="F237" s="4" t="s">
        <v>16</v>
      </c>
      <c r="G237" s="4" t="s">
        <v>19</v>
      </c>
      <c r="H237" s="8">
        <v>316.49</v>
      </c>
      <c r="I237">
        <v>2</v>
      </c>
      <c r="J237" s="8">
        <v>134.22999999999999</v>
      </c>
      <c r="K237" t="str">
        <f>"Q"&amp;ROUNDUP(MONTH(Table13[[#This Row],[Date]])/3,0)</f>
        <v>Q3</v>
      </c>
    </row>
    <row r="238" spans="1:11" x14ac:dyDescent="0.35">
      <c r="A238" s="4" t="s">
        <v>256</v>
      </c>
      <c r="B238" s="6">
        <v>45598</v>
      </c>
      <c r="C238" s="6" t="str">
        <f>TEXT(Table13[[#This Row],[Date]],"MMM")</f>
        <v>Nov</v>
      </c>
      <c r="D238" s="6" t="str">
        <f>TEXT(Table13[[#This Row],[Date]],"YYYY")</f>
        <v>2024</v>
      </c>
      <c r="E238" s="4" t="s">
        <v>25</v>
      </c>
      <c r="F238" s="4" t="s">
        <v>16</v>
      </c>
      <c r="G238" s="4" t="s">
        <v>19</v>
      </c>
      <c r="H238" s="8">
        <v>445.77</v>
      </c>
      <c r="I238">
        <v>2</v>
      </c>
      <c r="J238" s="8">
        <v>158.16999999999999</v>
      </c>
      <c r="K238" t="str">
        <f>"Q"&amp;ROUNDUP(MONTH(Table13[[#This Row],[Date]])/3,0)</f>
        <v>Q4</v>
      </c>
    </row>
    <row r="239" spans="1:11" x14ac:dyDescent="0.35">
      <c r="A239" s="4" t="s">
        <v>257</v>
      </c>
      <c r="B239" s="6">
        <v>45504</v>
      </c>
      <c r="C239" s="6" t="str">
        <f>TEXT(Table13[[#This Row],[Date]],"MMM")</f>
        <v>Jul</v>
      </c>
      <c r="D239" s="6" t="str">
        <f>TEXT(Table13[[#This Row],[Date]],"YYYY")</f>
        <v>2024</v>
      </c>
      <c r="E239" s="4" t="s">
        <v>18</v>
      </c>
      <c r="F239" s="4" t="s">
        <v>10</v>
      </c>
      <c r="G239" s="4" t="s">
        <v>21</v>
      </c>
      <c r="H239" s="8">
        <v>5439.95</v>
      </c>
      <c r="I239">
        <v>10</v>
      </c>
      <c r="J239" s="8">
        <v>370.15</v>
      </c>
      <c r="K239" t="str">
        <f>"Q"&amp;ROUNDUP(MONTH(Table13[[#This Row],[Date]])/3,0)</f>
        <v>Q3</v>
      </c>
    </row>
    <row r="240" spans="1:11" x14ac:dyDescent="0.35">
      <c r="A240" s="4" t="s">
        <v>258</v>
      </c>
      <c r="B240" s="6">
        <v>45569</v>
      </c>
      <c r="C240" s="6" t="str">
        <f>TEXT(Table13[[#This Row],[Date]],"MMM")</f>
        <v>Oct</v>
      </c>
      <c r="D240" s="6" t="str">
        <f>TEXT(Table13[[#This Row],[Date]],"YYYY")</f>
        <v>2024</v>
      </c>
      <c r="E240" s="4" t="s">
        <v>25</v>
      </c>
      <c r="F240" s="4" t="s">
        <v>16</v>
      </c>
      <c r="G240" s="4" t="s">
        <v>26</v>
      </c>
      <c r="H240" s="8">
        <v>931.73</v>
      </c>
      <c r="I240">
        <v>6</v>
      </c>
      <c r="J240" s="8">
        <v>137.75</v>
      </c>
      <c r="K240" t="str">
        <f>"Q"&amp;ROUNDUP(MONTH(Table13[[#This Row],[Date]])/3,0)</f>
        <v>Q4</v>
      </c>
    </row>
    <row r="241" spans="1:11" x14ac:dyDescent="0.35">
      <c r="A241" s="4" t="s">
        <v>259</v>
      </c>
      <c r="B241" s="6">
        <v>45208</v>
      </c>
      <c r="C241" s="6" t="str">
        <f>TEXT(Table13[[#This Row],[Date]],"MMM")</f>
        <v>Oct</v>
      </c>
      <c r="D241" s="6" t="str">
        <f>TEXT(Table13[[#This Row],[Date]],"YYYY")</f>
        <v>2023</v>
      </c>
      <c r="E241" s="4" t="s">
        <v>18</v>
      </c>
      <c r="F241" s="4" t="s">
        <v>10</v>
      </c>
      <c r="G241" s="4" t="s">
        <v>26</v>
      </c>
      <c r="H241" s="8">
        <v>831.4</v>
      </c>
      <c r="I241">
        <v>10</v>
      </c>
      <c r="J241" s="8">
        <v>63.81</v>
      </c>
      <c r="K241" t="str">
        <f>"Q"&amp;ROUNDUP(MONTH(Table13[[#This Row],[Date]])/3,0)</f>
        <v>Q4</v>
      </c>
    </row>
    <row r="242" spans="1:11" x14ac:dyDescent="0.35">
      <c r="A242" s="4" t="s">
        <v>260</v>
      </c>
      <c r="B242" s="6">
        <v>45389</v>
      </c>
      <c r="C242" s="6" t="str">
        <f>TEXT(Table13[[#This Row],[Date]],"MMM")</f>
        <v>Apr</v>
      </c>
      <c r="D242" s="6" t="str">
        <f>TEXT(Table13[[#This Row],[Date]],"YYYY")</f>
        <v>2024</v>
      </c>
      <c r="E242" s="4" t="s">
        <v>23</v>
      </c>
      <c r="F242" s="4" t="s">
        <v>16</v>
      </c>
      <c r="G242" s="4" t="s">
        <v>21</v>
      </c>
      <c r="H242" s="8">
        <v>92.22</v>
      </c>
      <c r="I242">
        <v>1</v>
      </c>
      <c r="J242" s="8">
        <v>64.37</v>
      </c>
      <c r="K242" t="str">
        <f>"Q"&amp;ROUNDUP(MONTH(Table13[[#This Row],[Date]])/3,0)</f>
        <v>Q2</v>
      </c>
    </row>
    <row r="243" spans="1:11" x14ac:dyDescent="0.35">
      <c r="A243" s="4" t="s">
        <v>261</v>
      </c>
      <c r="B243" s="6">
        <v>45556</v>
      </c>
      <c r="C243" s="6" t="str">
        <f>TEXT(Table13[[#This Row],[Date]],"MMM")</f>
        <v>Sep</v>
      </c>
      <c r="D243" s="6" t="str">
        <f>TEXT(Table13[[#This Row],[Date]],"YYYY")</f>
        <v>2024</v>
      </c>
      <c r="E243" s="4" t="s">
        <v>13</v>
      </c>
      <c r="F243" s="4" t="s">
        <v>10</v>
      </c>
      <c r="G243" s="4" t="s">
        <v>11</v>
      </c>
      <c r="H243" s="8">
        <v>5339.66</v>
      </c>
      <c r="I243">
        <v>10</v>
      </c>
      <c r="J243" s="8">
        <v>415.51</v>
      </c>
      <c r="K243" t="str">
        <f>"Q"&amp;ROUNDUP(MONTH(Table13[[#This Row],[Date]])/3,0)</f>
        <v>Q3</v>
      </c>
    </row>
    <row r="244" spans="1:11" x14ac:dyDescent="0.35">
      <c r="A244" s="4" t="s">
        <v>262</v>
      </c>
      <c r="B244" s="6">
        <v>45387</v>
      </c>
      <c r="C244" s="6" t="str">
        <f>TEXT(Table13[[#This Row],[Date]],"MMM")</f>
        <v>Apr</v>
      </c>
      <c r="D244" s="6" t="str">
        <f>TEXT(Table13[[#This Row],[Date]],"YYYY")</f>
        <v>2024</v>
      </c>
      <c r="E244" s="4" t="s">
        <v>25</v>
      </c>
      <c r="F244" s="4" t="s">
        <v>16</v>
      </c>
      <c r="G244" s="4" t="s">
        <v>11</v>
      </c>
      <c r="H244" s="8">
        <v>6492.35</v>
      </c>
      <c r="I244">
        <v>10</v>
      </c>
      <c r="J244" s="8">
        <v>528.42999999999995</v>
      </c>
      <c r="K244" t="str">
        <f>"Q"&amp;ROUNDUP(MONTH(Table13[[#This Row],[Date]])/3,0)</f>
        <v>Q2</v>
      </c>
    </row>
    <row r="245" spans="1:11" x14ac:dyDescent="0.35">
      <c r="A245" s="4" t="s">
        <v>263</v>
      </c>
      <c r="B245" s="6">
        <v>44990</v>
      </c>
      <c r="C245" s="6" t="str">
        <f>TEXT(Table13[[#This Row],[Date]],"MMM")</f>
        <v>Mar</v>
      </c>
      <c r="D245" s="6" t="str">
        <f>TEXT(Table13[[#This Row],[Date]],"YYYY")</f>
        <v>2023</v>
      </c>
      <c r="E245" s="4" t="s">
        <v>18</v>
      </c>
      <c r="F245" s="4" t="s">
        <v>10</v>
      </c>
      <c r="G245" s="4" t="s">
        <v>19</v>
      </c>
      <c r="H245" s="8">
        <v>1176.24</v>
      </c>
      <c r="I245">
        <v>8</v>
      </c>
      <c r="J245" s="8">
        <v>100.73</v>
      </c>
      <c r="K245" t="str">
        <f>"Q"&amp;ROUNDUP(MONTH(Table13[[#This Row],[Date]])/3,0)</f>
        <v>Q1</v>
      </c>
    </row>
    <row r="246" spans="1:11" x14ac:dyDescent="0.35">
      <c r="A246" s="4" t="s">
        <v>264</v>
      </c>
      <c r="B246" s="6">
        <v>45443</v>
      </c>
      <c r="C246" s="6" t="str">
        <f>TEXT(Table13[[#This Row],[Date]],"MMM")</f>
        <v>May</v>
      </c>
      <c r="D246" s="6" t="str">
        <f>TEXT(Table13[[#This Row],[Date]],"YYYY")</f>
        <v>2024</v>
      </c>
      <c r="E246" s="4" t="s">
        <v>23</v>
      </c>
      <c r="F246" s="4" t="s">
        <v>16</v>
      </c>
      <c r="G246" s="4" t="s">
        <v>11</v>
      </c>
      <c r="H246" s="8">
        <v>209.66</v>
      </c>
      <c r="I246">
        <v>3</v>
      </c>
      <c r="J246" s="8">
        <v>50.53</v>
      </c>
      <c r="K246" t="str">
        <f>"Q"&amp;ROUNDUP(MONTH(Table13[[#This Row],[Date]])/3,0)</f>
        <v>Q2</v>
      </c>
    </row>
    <row r="247" spans="1:11" x14ac:dyDescent="0.35">
      <c r="A247" s="4" t="s">
        <v>265</v>
      </c>
      <c r="B247" s="6">
        <v>45299</v>
      </c>
      <c r="C247" s="6" t="str">
        <f>TEXT(Table13[[#This Row],[Date]],"MMM")</f>
        <v>Jan</v>
      </c>
      <c r="D247" s="6" t="str">
        <f>TEXT(Table13[[#This Row],[Date]],"YYYY")</f>
        <v>2024</v>
      </c>
      <c r="E247" s="4" t="s">
        <v>18</v>
      </c>
      <c r="F247" s="4" t="s">
        <v>10</v>
      </c>
      <c r="G247" s="4" t="s">
        <v>19</v>
      </c>
      <c r="H247" s="8">
        <v>5541.86</v>
      </c>
      <c r="I247">
        <v>6</v>
      </c>
      <c r="J247" s="8">
        <v>735.99</v>
      </c>
      <c r="K247" t="str">
        <f>"Q"&amp;ROUNDUP(MONTH(Table13[[#This Row],[Date]])/3,0)</f>
        <v>Q1</v>
      </c>
    </row>
    <row r="248" spans="1:11" x14ac:dyDescent="0.35">
      <c r="A248" s="4" t="s">
        <v>266</v>
      </c>
      <c r="B248" s="6">
        <v>45573</v>
      </c>
      <c r="C248" s="6" t="str">
        <f>TEXT(Table13[[#This Row],[Date]],"MMM")</f>
        <v>Oct</v>
      </c>
      <c r="D248" s="6" t="str">
        <f>TEXT(Table13[[#This Row],[Date]],"YYYY")</f>
        <v>2024</v>
      </c>
      <c r="E248" s="4" t="s">
        <v>23</v>
      </c>
      <c r="F248" s="4" t="s">
        <v>16</v>
      </c>
      <c r="G248" s="4" t="s">
        <v>11</v>
      </c>
      <c r="H248" s="8">
        <v>487.5</v>
      </c>
      <c r="I248">
        <v>6</v>
      </c>
      <c r="J248" s="8">
        <v>71.41</v>
      </c>
      <c r="K248" t="str">
        <f>"Q"&amp;ROUNDUP(MONTH(Table13[[#This Row],[Date]])/3,0)</f>
        <v>Q4</v>
      </c>
    </row>
    <row r="249" spans="1:11" x14ac:dyDescent="0.35">
      <c r="A249" s="4" t="s">
        <v>267</v>
      </c>
      <c r="B249" s="6">
        <v>45217</v>
      </c>
      <c r="C249" s="6" t="str">
        <f>TEXT(Table13[[#This Row],[Date]],"MMM")</f>
        <v>Oct</v>
      </c>
      <c r="D249" s="6" t="str">
        <f>TEXT(Table13[[#This Row],[Date]],"YYYY")</f>
        <v>2023</v>
      </c>
      <c r="E249" s="4" t="s">
        <v>9</v>
      </c>
      <c r="F249" s="4" t="s">
        <v>10</v>
      </c>
      <c r="G249" s="4" t="s">
        <v>21</v>
      </c>
      <c r="H249" s="8">
        <v>3982.34</v>
      </c>
      <c r="I249">
        <v>5</v>
      </c>
      <c r="J249" s="8">
        <v>584.51</v>
      </c>
      <c r="K249" t="str">
        <f>"Q"&amp;ROUNDUP(MONTH(Table13[[#This Row],[Date]])/3,0)</f>
        <v>Q4</v>
      </c>
    </row>
    <row r="250" spans="1:11" x14ac:dyDescent="0.35">
      <c r="A250" s="4" t="s">
        <v>268</v>
      </c>
      <c r="B250" s="6">
        <v>45268</v>
      </c>
      <c r="C250" s="6" t="str">
        <f>TEXT(Table13[[#This Row],[Date]],"MMM")</f>
        <v>Dec</v>
      </c>
      <c r="D250" s="6" t="str">
        <f>TEXT(Table13[[#This Row],[Date]],"YYYY")</f>
        <v>2023</v>
      </c>
      <c r="E250" s="4" t="s">
        <v>25</v>
      </c>
      <c r="F250" s="4" t="s">
        <v>16</v>
      </c>
      <c r="G250" s="4" t="s">
        <v>19</v>
      </c>
      <c r="H250" s="8">
        <v>1097.68</v>
      </c>
      <c r="I250">
        <v>2</v>
      </c>
      <c r="J250" s="8">
        <v>474.54</v>
      </c>
      <c r="K250" t="str">
        <f>"Q"&amp;ROUNDUP(MONTH(Table13[[#This Row],[Date]])/3,0)</f>
        <v>Q4</v>
      </c>
    </row>
    <row r="251" spans="1:11" x14ac:dyDescent="0.35">
      <c r="A251" s="4" t="s">
        <v>269</v>
      </c>
      <c r="B251" s="6">
        <v>45598</v>
      </c>
      <c r="C251" s="6" t="str">
        <f>TEXT(Table13[[#This Row],[Date]],"MMM")</f>
        <v>Nov</v>
      </c>
      <c r="D251" s="6" t="str">
        <f>TEXT(Table13[[#This Row],[Date]],"YYYY")</f>
        <v>2024</v>
      </c>
      <c r="E251" s="4" t="s">
        <v>23</v>
      </c>
      <c r="F251" s="4" t="s">
        <v>16</v>
      </c>
      <c r="G251" s="4" t="s">
        <v>26</v>
      </c>
      <c r="H251" s="8">
        <v>1167.79</v>
      </c>
      <c r="I251">
        <v>7</v>
      </c>
      <c r="J251" s="8">
        <v>120.58</v>
      </c>
      <c r="K251" t="str">
        <f>"Q"&amp;ROUNDUP(MONTH(Table13[[#This Row],[Date]])/3,0)</f>
        <v>Q4</v>
      </c>
    </row>
    <row r="252" spans="1:11" x14ac:dyDescent="0.35">
      <c r="A252" s="4" t="s">
        <v>270</v>
      </c>
      <c r="B252" s="6">
        <v>45499</v>
      </c>
      <c r="C252" s="6" t="str">
        <f>TEXT(Table13[[#This Row],[Date]],"MMM")</f>
        <v>Jul</v>
      </c>
      <c r="D252" s="6" t="str">
        <f>TEXT(Table13[[#This Row],[Date]],"YYYY")</f>
        <v>2024</v>
      </c>
      <c r="E252" s="4" t="s">
        <v>13</v>
      </c>
      <c r="F252" s="4" t="s">
        <v>10</v>
      </c>
      <c r="G252" s="4" t="s">
        <v>26</v>
      </c>
      <c r="H252" s="8">
        <v>4498.8100000000004</v>
      </c>
      <c r="I252">
        <v>7</v>
      </c>
      <c r="J252" s="8">
        <v>521.91999999999996</v>
      </c>
      <c r="K252" t="str">
        <f>"Q"&amp;ROUNDUP(MONTH(Table13[[#This Row],[Date]])/3,0)</f>
        <v>Q3</v>
      </c>
    </row>
    <row r="253" spans="1:11" x14ac:dyDescent="0.35">
      <c r="A253" s="4" t="s">
        <v>271</v>
      </c>
      <c r="B253" s="6">
        <v>45588</v>
      </c>
      <c r="C253" s="6" t="str">
        <f>TEXT(Table13[[#This Row],[Date]],"MMM")</f>
        <v>Oct</v>
      </c>
      <c r="D253" s="6" t="str">
        <f>TEXT(Table13[[#This Row],[Date]],"YYYY")</f>
        <v>2024</v>
      </c>
      <c r="E253" s="4" t="s">
        <v>15</v>
      </c>
      <c r="F253" s="4" t="s">
        <v>16</v>
      </c>
      <c r="G253" s="4" t="s">
        <v>11</v>
      </c>
      <c r="H253" s="8">
        <v>3229.24</v>
      </c>
      <c r="I253">
        <v>7</v>
      </c>
      <c r="J253" s="8">
        <v>416.62</v>
      </c>
      <c r="K253" t="str">
        <f>"Q"&amp;ROUNDUP(MONTH(Table13[[#This Row],[Date]])/3,0)</f>
        <v>Q4</v>
      </c>
    </row>
    <row r="254" spans="1:11" x14ac:dyDescent="0.35">
      <c r="A254" s="4" t="s">
        <v>272</v>
      </c>
      <c r="B254" s="6">
        <v>45146</v>
      </c>
      <c r="C254" s="6" t="str">
        <f>TEXT(Table13[[#This Row],[Date]],"MMM")</f>
        <v>Aug</v>
      </c>
      <c r="D254" s="6" t="str">
        <f>TEXT(Table13[[#This Row],[Date]],"YYYY")</f>
        <v>2023</v>
      </c>
      <c r="E254" s="4" t="s">
        <v>23</v>
      </c>
      <c r="F254" s="4" t="s">
        <v>16</v>
      </c>
      <c r="G254" s="4" t="s">
        <v>19</v>
      </c>
      <c r="H254" s="8">
        <v>5896.59</v>
      </c>
      <c r="I254">
        <v>6</v>
      </c>
      <c r="J254" s="8">
        <v>759.18</v>
      </c>
      <c r="K254" t="str">
        <f>"Q"&amp;ROUNDUP(MONTH(Table13[[#This Row],[Date]])/3,0)</f>
        <v>Q3</v>
      </c>
    </row>
    <row r="255" spans="1:11" x14ac:dyDescent="0.35">
      <c r="A255" s="4" t="s">
        <v>273</v>
      </c>
      <c r="B255" s="6">
        <v>45085</v>
      </c>
      <c r="C255" s="6" t="str">
        <f>TEXT(Table13[[#This Row],[Date]],"MMM")</f>
        <v>Jun</v>
      </c>
      <c r="D255" s="6" t="str">
        <f>TEXT(Table13[[#This Row],[Date]],"YYYY")</f>
        <v>2023</v>
      </c>
      <c r="E255" s="4" t="s">
        <v>15</v>
      </c>
      <c r="F255" s="4" t="s">
        <v>16</v>
      </c>
      <c r="G255" s="4" t="s">
        <v>19</v>
      </c>
      <c r="H255" s="8">
        <v>709.66</v>
      </c>
      <c r="I255">
        <v>2</v>
      </c>
      <c r="J255" s="8">
        <v>250.72</v>
      </c>
      <c r="K255" t="str">
        <f>"Q"&amp;ROUNDUP(MONTH(Table13[[#This Row],[Date]])/3,0)</f>
        <v>Q2</v>
      </c>
    </row>
    <row r="256" spans="1:11" x14ac:dyDescent="0.35">
      <c r="A256" s="4" t="s">
        <v>274</v>
      </c>
      <c r="B256" s="6">
        <v>45604</v>
      </c>
      <c r="C256" s="6" t="str">
        <f>TEXT(Table13[[#This Row],[Date]],"MMM")</f>
        <v>Nov</v>
      </c>
      <c r="D256" s="6" t="str">
        <f>TEXT(Table13[[#This Row],[Date]],"YYYY")</f>
        <v>2024</v>
      </c>
      <c r="E256" s="4" t="s">
        <v>25</v>
      </c>
      <c r="F256" s="4" t="s">
        <v>16</v>
      </c>
      <c r="G256" s="4" t="s">
        <v>11</v>
      </c>
      <c r="H256" s="8">
        <v>5687.31</v>
      </c>
      <c r="I256">
        <v>6</v>
      </c>
      <c r="J256" s="8">
        <v>703.59</v>
      </c>
      <c r="K256" t="str">
        <f>"Q"&amp;ROUNDUP(MONTH(Table13[[#This Row],[Date]])/3,0)</f>
        <v>Q4</v>
      </c>
    </row>
    <row r="257" spans="1:11" x14ac:dyDescent="0.35">
      <c r="A257" s="4" t="s">
        <v>275</v>
      </c>
      <c r="B257" s="6">
        <v>45084</v>
      </c>
      <c r="C257" s="6" t="str">
        <f>TEXT(Table13[[#This Row],[Date]],"MMM")</f>
        <v>Jun</v>
      </c>
      <c r="D257" s="6" t="str">
        <f>TEXT(Table13[[#This Row],[Date]],"YYYY")</f>
        <v>2023</v>
      </c>
      <c r="E257" s="4" t="s">
        <v>25</v>
      </c>
      <c r="F257" s="4" t="s">
        <v>16</v>
      </c>
      <c r="G257" s="4" t="s">
        <v>21</v>
      </c>
      <c r="H257" s="8">
        <v>665.41</v>
      </c>
      <c r="I257">
        <v>3</v>
      </c>
      <c r="J257" s="8">
        <v>161.06</v>
      </c>
      <c r="K257" t="str">
        <f>"Q"&amp;ROUNDUP(MONTH(Table13[[#This Row],[Date]])/3,0)</f>
        <v>Q2</v>
      </c>
    </row>
    <row r="258" spans="1:11" x14ac:dyDescent="0.35">
      <c r="A258" s="4" t="s">
        <v>276</v>
      </c>
      <c r="B258" s="6">
        <v>45375</v>
      </c>
      <c r="C258" s="6" t="str">
        <f>TEXT(Table13[[#This Row],[Date]],"MMM")</f>
        <v>Mar</v>
      </c>
      <c r="D258" s="6" t="str">
        <f>TEXT(Table13[[#This Row],[Date]],"YYYY")</f>
        <v>2024</v>
      </c>
      <c r="E258" s="4" t="s">
        <v>25</v>
      </c>
      <c r="F258" s="4" t="s">
        <v>16</v>
      </c>
      <c r="G258" s="4" t="s">
        <v>19</v>
      </c>
      <c r="H258" s="8">
        <v>466.63</v>
      </c>
      <c r="I258">
        <v>1</v>
      </c>
      <c r="J258" s="8">
        <v>340.47</v>
      </c>
      <c r="K258" t="str">
        <f>"Q"&amp;ROUNDUP(MONTH(Table13[[#This Row],[Date]])/3,0)</f>
        <v>Q1</v>
      </c>
    </row>
    <row r="259" spans="1:11" x14ac:dyDescent="0.35">
      <c r="A259" s="4" t="s">
        <v>277</v>
      </c>
      <c r="B259" s="6">
        <v>45552</v>
      </c>
      <c r="C259" s="6" t="str">
        <f>TEXT(Table13[[#This Row],[Date]],"MMM")</f>
        <v>Sep</v>
      </c>
      <c r="D259" s="6" t="str">
        <f>TEXT(Table13[[#This Row],[Date]],"YYYY")</f>
        <v>2024</v>
      </c>
      <c r="E259" s="4" t="s">
        <v>15</v>
      </c>
      <c r="F259" s="4" t="s">
        <v>16</v>
      </c>
      <c r="G259" s="4" t="s">
        <v>21</v>
      </c>
      <c r="H259" s="8">
        <v>4289.1099999999997</v>
      </c>
      <c r="I259">
        <v>5</v>
      </c>
      <c r="J259" s="8">
        <v>606.87</v>
      </c>
      <c r="K259" t="str">
        <f>"Q"&amp;ROUNDUP(MONTH(Table13[[#This Row],[Date]])/3,0)</f>
        <v>Q3</v>
      </c>
    </row>
    <row r="260" spans="1:11" x14ac:dyDescent="0.35">
      <c r="A260" s="4" t="s">
        <v>278</v>
      </c>
      <c r="B260" s="6">
        <v>45243</v>
      </c>
      <c r="C260" s="6" t="str">
        <f>TEXT(Table13[[#This Row],[Date]],"MMM")</f>
        <v>Nov</v>
      </c>
      <c r="D260" s="6" t="str">
        <f>TEXT(Table13[[#This Row],[Date]],"YYYY")</f>
        <v>2023</v>
      </c>
      <c r="E260" s="4" t="s">
        <v>15</v>
      </c>
      <c r="F260" s="4" t="s">
        <v>16</v>
      </c>
      <c r="G260" s="4" t="s">
        <v>19</v>
      </c>
      <c r="H260" s="8">
        <v>6831.06</v>
      </c>
      <c r="I260">
        <v>8</v>
      </c>
      <c r="J260" s="8">
        <v>725.1</v>
      </c>
      <c r="K260" t="str">
        <f>"Q"&amp;ROUNDUP(MONTH(Table13[[#This Row],[Date]])/3,0)</f>
        <v>Q4</v>
      </c>
    </row>
    <row r="261" spans="1:11" x14ac:dyDescent="0.35">
      <c r="A261" s="4" t="s">
        <v>279</v>
      </c>
      <c r="B261" s="6">
        <v>45399</v>
      </c>
      <c r="C261" s="6" t="str">
        <f>TEXT(Table13[[#This Row],[Date]],"MMM")</f>
        <v>Apr</v>
      </c>
      <c r="D261" s="6" t="str">
        <f>TEXT(Table13[[#This Row],[Date]],"YYYY")</f>
        <v>2024</v>
      </c>
      <c r="E261" s="4" t="s">
        <v>9</v>
      </c>
      <c r="F261" s="4" t="s">
        <v>10</v>
      </c>
      <c r="G261" s="4" t="s">
        <v>21</v>
      </c>
      <c r="H261" s="8">
        <v>4078.75</v>
      </c>
      <c r="I261">
        <v>5</v>
      </c>
      <c r="J261" s="8">
        <v>626.94000000000005</v>
      </c>
      <c r="K261" t="str">
        <f>"Q"&amp;ROUNDUP(MONTH(Table13[[#This Row],[Date]])/3,0)</f>
        <v>Q2</v>
      </c>
    </row>
    <row r="262" spans="1:11" x14ac:dyDescent="0.35">
      <c r="A262" s="4" t="s">
        <v>280</v>
      </c>
      <c r="B262" s="6">
        <v>45131</v>
      </c>
      <c r="C262" s="6" t="str">
        <f>TEXT(Table13[[#This Row],[Date]],"MMM")</f>
        <v>Jul</v>
      </c>
      <c r="D262" s="6" t="str">
        <f>TEXT(Table13[[#This Row],[Date]],"YYYY")</f>
        <v>2023</v>
      </c>
      <c r="E262" s="4" t="s">
        <v>18</v>
      </c>
      <c r="F262" s="4" t="s">
        <v>10</v>
      </c>
      <c r="G262" s="4" t="s">
        <v>19</v>
      </c>
      <c r="H262" s="8">
        <v>1535.4</v>
      </c>
      <c r="I262">
        <v>10</v>
      </c>
      <c r="J262" s="8">
        <v>127.95</v>
      </c>
      <c r="K262" t="str">
        <f>"Q"&amp;ROUNDUP(MONTH(Table13[[#This Row],[Date]])/3,0)</f>
        <v>Q3</v>
      </c>
    </row>
    <row r="263" spans="1:11" x14ac:dyDescent="0.35">
      <c r="A263" s="4" t="s">
        <v>281</v>
      </c>
      <c r="B263" s="6">
        <v>45307</v>
      </c>
      <c r="C263" s="6" t="str">
        <f>TEXT(Table13[[#This Row],[Date]],"MMM")</f>
        <v>Jan</v>
      </c>
      <c r="D263" s="6" t="str">
        <f>TEXT(Table13[[#This Row],[Date]],"YYYY")</f>
        <v>2024</v>
      </c>
      <c r="E263" s="4" t="s">
        <v>9</v>
      </c>
      <c r="F263" s="4" t="s">
        <v>10</v>
      </c>
      <c r="G263" s="4" t="s">
        <v>21</v>
      </c>
      <c r="H263" s="8">
        <v>9330.2099999999991</v>
      </c>
      <c r="I263">
        <v>9</v>
      </c>
      <c r="J263" s="8">
        <v>748.75</v>
      </c>
      <c r="K263" t="str">
        <f>"Q"&amp;ROUNDUP(MONTH(Table13[[#This Row],[Date]])/3,0)</f>
        <v>Q1</v>
      </c>
    </row>
    <row r="264" spans="1:11" x14ac:dyDescent="0.35">
      <c r="A264" s="4" t="s">
        <v>282</v>
      </c>
      <c r="B264" s="6">
        <v>45218</v>
      </c>
      <c r="C264" s="6" t="str">
        <f>TEXT(Table13[[#This Row],[Date]],"MMM")</f>
        <v>Oct</v>
      </c>
      <c r="D264" s="6" t="str">
        <f>TEXT(Table13[[#This Row],[Date]],"YYYY")</f>
        <v>2023</v>
      </c>
      <c r="E264" s="4" t="s">
        <v>25</v>
      </c>
      <c r="F264" s="4" t="s">
        <v>16</v>
      </c>
      <c r="G264" s="4" t="s">
        <v>11</v>
      </c>
      <c r="H264" s="8">
        <v>1487.77</v>
      </c>
      <c r="I264">
        <v>2</v>
      </c>
      <c r="J264" s="8">
        <v>615.23</v>
      </c>
      <c r="K264" t="str">
        <f>"Q"&amp;ROUNDUP(MONTH(Table13[[#This Row],[Date]])/3,0)</f>
        <v>Q4</v>
      </c>
    </row>
    <row r="265" spans="1:11" x14ac:dyDescent="0.35">
      <c r="A265" s="4" t="s">
        <v>283</v>
      </c>
      <c r="B265" s="6">
        <v>45374</v>
      </c>
      <c r="C265" s="6" t="str">
        <f>TEXT(Table13[[#This Row],[Date]],"MMM")</f>
        <v>Mar</v>
      </c>
      <c r="D265" s="6" t="str">
        <f>TEXT(Table13[[#This Row],[Date]],"YYYY")</f>
        <v>2024</v>
      </c>
      <c r="E265" s="4" t="s">
        <v>25</v>
      </c>
      <c r="F265" s="4" t="s">
        <v>16</v>
      </c>
      <c r="G265" s="4" t="s">
        <v>19</v>
      </c>
      <c r="H265" s="8">
        <v>1802.72</v>
      </c>
      <c r="I265">
        <v>2</v>
      </c>
      <c r="J265" s="8">
        <v>758.2</v>
      </c>
      <c r="K265" t="str">
        <f>"Q"&amp;ROUNDUP(MONTH(Table13[[#This Row],[Date]])/3,0)</f>
        <v>Q1</v>
      </c>
    </row>
    <row r="266" spans="1:11" x14ac:dyDescent="0.35">
      <c r="A266" s="4" t="s">
        <v>284</v>
      </c>
      <c r="B266" s="6">
        <v>44954</v>
      </c>
      <c r="C266" s="6" t="str">
        <f>TEXT(Table13[[#This Row],[Date]],"MMM")</f>
        <v>Jan</v>
      </c>
      <c r="D266" s="6" t="str">
        <f>TEXT(Table13[[#This Row],[Date]],"YYYY")</f>
        <v>2023</v>
      </c>
      <c r="E266" s="4" t="s">
        <v>18</v>
      </c>
      <c r="F266" s="4" t="s">
        <v>10</v>
      </c>
      <c r="G266" s="4" t="s">
        <v>26</v>
      </c>
      <c r="H266" s="8">
        <v>560.36</v>
      </c>
      <c r="I266">
        <v>7</v>
      </c>
      <c r="J266" s="8">
        <v>61.54</v>
      </c>
      <c r="K266" t="str">
        <f>"Q"&amp;ROUNDUP(MONTH(Table13[[#This Row],[Date]])/3,0)</f>
        <v>Q1</v>
      </c>
    </row>
    <row r="267" spans="1:11" x14ac:dyDescent="0.35">
      <c r="A267" s="4" t="s">
        <v>285</v>
      </c>
      <c r="B267" s="6">
        <v>45010</v>
      </c>
      <c r="C267" s="6" t="str">
        <f>TEXT(Table13[[#This Row],[Date]],"MMM")</f>
        <v>Mar</v>
      </c>
      <c r="D267" s="6" t="str">
        <f>TEXT(Table13[[#This Row],[Date]],"YYYY")</f>
        <v>2023</v>
      </c>
      <c r="E267" s="4" t="s">
        <v>15</v>
      </c>
      <c r="F267" s="4" t="s">
        <v>16</v>
      </c>
      <c r="G267" s="4" t="s">
        <v>21</v>
      </c>
      <c r="H267" s="8">
        <v>1437.18</v>
      </c>
      <c r="I267">
        <v>6</v>
      </c>
      <c r="J267" s="8">
        <v>195.14</v>
      </c>
      <c r="K267" t="str">
        <f>"Q"&amp;ROUNDUP(MONTH(Table13[[#This Row],[Date]])/3,0)</f>
        <v>Q1</v>
      </c>
    </row>
    <row r="268" spans="1:11" x14ac:dyDescent="0.35">
      <c r="A268" s="4" t="s">
        <v>286</v>
      </c>
      <c r="B268" s="6">
        <v>45076</v>
      </c>
      <c r="C268" s="6" t="str">
        <f>TEXT(Table13[[#This Row],[Date]],"MMM")</f>
        <v>May</v>
      </c>
      <c r="D268" s="6" t="str">
        <f>TEXT(Table13[[#This Row],[Date]],"YYYY")</f>
        <v>2023</v>
      </c>
      <c r="E268" s="4" t="s">
        <v>13</v>
      </c>
      <c r="F268" s="4" t="s">
        <v>10</v>
      </c>
      <c r="G268" s="4" t="s">
        <v>26</v>
      </c>
      <c r="H268" s="8">
        <v>219.52</v>
      </c>
      <c r="I268">
        <v>3</v>
      </c>
      <c r="J268" s="8">
        <v>49.88</v>
      </c>
      <c r="K268" t="str">
        <f>"Q"&amp;ROUNDUP(MONTH(Table13[[#This Row],[Date]])/3,0)</f>
        <v>Q2</v>
      </c>
    </row>
    <row r="269" spans="1:11" x14ac:dyDescent="0.35">
      <c r="A269" s="4" t="s">
        <v>287</v>
      </c>
      <c r="B269" s="6">
        <v>45649</v>
      </c>
      <c r="C269" s="6" t="str">
        <f>TEXT(Table13[[#This Row],[Date]],"MMM")</f>
        <v>Dec</v>
      </c>
      <c r="D269" s="6" t="str">
        <f>TEXT(Table13[[#This Row],[Date]],"YYYY")</f>
        <v>2024</v>
      </c>
      <c r="E269" s="4" t="s">
        <v>18</v>
      </c>
      <c r="F269" s="4" t="s">
        <v>10</v>
      </c>
      <c r="G269" s="4" t="s">
        <v>19</v>
      </c>
      <c r="H269" s="8">
        <v>3261.42</v>
      </c>
      <c r="I269">
        <v>8</v>
      </c>
      <c r="J269" s="8">
        <v>369.91</v>
      </c>
      <c r="K269" t="str">
        <f>"Q"&amp;ROUNDUP(MONTH(Table13[[#This Row],[Date]])/3,0)</f>
        <v>Q4</v>
      </c>
    </row>
    <row r="270" spans="1:11" x14ac:dyDescent="0.35">
      <c r="A270" s="4" t="s">
        <v>288</v>
      </c>
      <c r="B270" s="6">
        <v>45189</v>
      </c>
      <c r="C270" s="6" t="str">
        <f>TEXT(Table13[[#This Row],[Date]],"MMM")</f>
        <v>Sep</v>
      </c>
      <c r="D270" s="6" t="str">
        <f>TEXT(Table13[[#This Row],[Date]],"YYYY")</f>
        <v>2023</v>
      </c>
      <c r="E270" s="4" t="s">
        <v>13</v>
      </c>
      <c r="F270" s="4" t="s">
        <v>10</v>
      </c>
      <c r="G270" s="4" t="s">
        <v>11</v>
      </c>
      <c r="H270" s="8">
        <v>3543.02</v>
      </c>
      <c r="I270">
        <v>4</v>
      </c>
      <c r="J270" s="8">
        <v>671.27</v>
      </c>
      <c r="K270" t="str">
        <f>"Q"&amp;ROUNDUP(MONTH(Table13[[#This Row],[Date]])/3,0)</f>
        <v>Q3</v>
      </c>
    </row>
    <row r="271" spans="1:11" x14ac:dyDescent="0.35">
      <c r="A271" s="4" t="s">
        <v>289</v>
      </c>
      <c r="B271" s="6">
        <v>45040</v>
      </c>
      <c r="C271" s="6" t="str">
        <f>TEXT(Table13[[#This Row],[Date]],"MMM")</f>
        <v>Apr</v>
      </c>
      <c r="D271" s="6" t="str">
        <f>TEXT(Table13[[#This Row],[Date]],"YYYY")</f>
        <v>2023</v>
      </c>
      <c r="E271" s="4" t="s">
        <v>9</v>
      </c>
      <c r="F271" s="4" t="s">
        <v>10</v>
      </c>
      <c r="G271" s="4" t="s">
        <v>21</v>
      </c>
      <c r="H271" s="8">
        <v>1179.53</v>
      </c>
      <c r="I271">
        <v>5</v>
      </c>
      <c r="J271" s="8">
        <v>205.36</v>
      </c>
      <c r="K271" t="str">
        <f>"Q"&amp;ROUNDUP(MONTH(Table13[[#This Row],[Date]])/3,0)</f>
        <v>Q2</v>
      </c>
    </row>
    <row r="272" spans="1:11" x14ac:dyDescent="0.35">
      <c r="A272" s="4" t="s">
        <v>290</v>
      </c>
      <c r="B272" s="6">
        <v>45581</v>
      </c>
      <c r="C272" s="6" t="str">
        <f>TEXT(Table13[[#This Row],[Date]],"MMM")</f>
        <v>Oct</v>
      </c>
      <c r="D272" s="6" t="str">
        <f>TEXT(Table13[[#This Row],[Date]],"YYYY")</f>
        <v>2024</v>
      </c>
      <c r="E272" s="4" t="s">
        <v>15</v>
      </c>
      <c r="F272" s="4" t="s">
        <v>16</v>
      </c>
      <c r="G272" s="4" t="s">
        <v>21</v>
      </c>
      <c r="H272" s="8">
        <v>4309.0200000000004</v>
      </c>
      <c r="I272">
        <v>10</v>
      </c>
      <c r="J272" s="8">
        <v>376.55</v>
      </c>
      <c r="K272" t="str">
        <f>"Q"&amp;ROUNDUP(MONTH(Table13[[#This Row],[Date]])/3,0)</f>
        <v>Q4</v>
      </c>
    </row>
    <row r="273" spans="1:11" x14ac:dyDescent="0.35">
      <c r="A273" s="4" t="s">
        <v>291</v>
      </c>
      <c r="B273" s="6">
        <v>45574</v>
      </c>
      <c r="C273" s="6" t="str">
        <f>TEXT(Table13[[#This Row],[Date]],"MMM")</f>
        <v>Oct</v>
      </c>
      <c r="D273" s="6" t="str">
        <f>TEXT(Table13[[#This Row],[Date]],"YYYY")</f>
        <v>2024</v>
      </c>
      <c r="E273" s="4" t="s">
        <v>18</v>
      </c>
      <c r="F273" s="4" t="s">
        <v>10</v>
      </c>
      <c r="G273" s="4" t="s">
        <v>11</v>
      </c>
      <c r="H273" s="8">
        <v>5850.55</v>
      </c>
      <c r="I273">
        <v>9</v>
      </c>
      <c r="J273" s="8">
        <v>468.54</v>
      </c>
      <c r="K273" t="str">
        <f>"Q"&amp;ROUNDUP(MONTH(Table13[[#This Row],[Date]])/3,0)</f>
        <v>Q4</v>
      </c>
    </row>
    <row r="274" spans="1:11" x14ac:dyDescent="0.35">
      <c r="A274" s="4" t="s">
        <v>292</v>
      </c>
      <c r="B274" s="6">
        <v>44928</v>
      </c>
      <c r="C274" s="6" t="str">
        <f>TEXT(Table13[[#This Row],[Date]],"MMM")</f>
        <v>Jan</v>
      </c>
      <c r="D274" s="6" t="str">
        <f>TEXT(Table13[[#This Row],[Date]],"YYYY")</f>
        <v>2023</v>
      </c>
      <c r="E274" s="4" t="s">
        <v>23</v>
      </c>
      <c r="F274" s="4" t="s">
        <v>16</v>
      </c>
      <c r="G274" s="4" t="s">
        <v>21</v>
      </c>
      <c r="H274" s="8">
        <v>3921.04</v>
      </c>
      <c r="I274">
        <v>10</v>
      </c>
      <c r="J274" s="8">
        <v>295.2</v>
      </c>
      <c r="K274" t="str">
        <f>"Q"&amp;ROUNDUP(MONTH(Table13[[#This Row],[Date]])/3,0)</f>
        <v>Q1</v>
      </c>
    </row>
    <row r="275" spans="1:11" x14ac:dyDescent="0.35">
      <c r="A275" s="4" t="s">
        <v>293</v>
      </c>
      <c r="B275" s="6">
        <v>45463</v>
      </c>
      <c r="C275" s="6" t="str">
        <f>TEXT(Table13[[#This Row],[Date]],"MMM")</f>
        <v>Jun</v>
      </c>
      <c r="D275" s="6" t="str">
        <f>TEXT(Table13[[#This Row],[Date]],"YYYY")</f>
        <v>2024</v>
      </c>
      <c r="E275" s="4" t="s">
        <v>15</v>
      </c>
      <c r="F275" s="4" t="s">
        <v>16</v>
      </c>
      <c r="G275" s="4" t="s">
        <v>11</v>
      </c>
      <c r="H275" s="8">
        <v>572.30999999999995</v>
      </c>
      <c r="I275">
        <v>6</v>
      </c>
      <c r="J275" s="8">
        <v>72.790000000000006</v>
      </c>
      <c r="K275" t="str">
        <f>"Q"&amp;ROUNDUP(MONTH(Table13[[#This Row],[Date]])/3,0)</f>
        <v>Q2</v>
      </c>
    </row>
    <row r="276" spans="1:11" x14ac:dyDescent="0.35">
      <c r="A276" s="4" t="s">
        <v>294</v>
      </c>
      <c r="B276" s="6">
        <v>45326</v>
      </c>
      <c r="C276" s="6" t="str">
        <f>TEXT(Table13[[#This Row],[Date]],"MMM")</f>
        <v>Feb</v>
      </c>
      <c r="D276" s="6" t="str">
        <f>TEXT(Table13[[#This Row],[Date]],"YYYY")</f>
        <v>2024</v>
      </c>
      <c r="E276" s="4" t="s">
        <v>25</v>
      </c>
      <c r="F276" s="4" t="s">
        <v>16</v>
      </c>
      <c r="G276" s="4" t="s">
        <v>11</v>
      </c>
      <c r="H276" s="8">
        <v>541.65</v>
      </c>
      <c r="I276">
        <v>8</v>
      </c>
      <c r="J276" s="8">
        <v>53.96</v>
      </c>
      <c r="K276" t="str">
        <f>"Q"&amp;ROUNDUP(MONTH(Table13[[#This Row],[Date]])/3,0)</f>
        <v>Q1</v>
      </c>
    </row>
    <row r="277" spans="1:11" x14ac:dyDescent="0.35">
      <c r="A277" s="4" t="s">
        <v>295</v>
      </c>
      <c r="B277" s="6">
        <v>44943</v>
      </c>
      <c r="C277" s="6" t="str">
        <f>TEXT(Table13[[#This Row],[Date]],"MMM")</f>
        <v>Jan</v>
      </c>
      <c r="D277" s="6" t="str">
        <f>TEXT(Table13[[#This Row],[Date]],"YYYY")</f>
        <v>2023</v>
      </c>
      <c r="E277" s="4" t="s">
        <v>23</v>
      </c>
      <c r="F277" s="4" t="s">
        <v>16</v>
      </c>
      <c r="G277" s="4" t="s">
        <v>26</v>
      </c>
      <c r="H277" s="8">
        <v>4716.8500000000004</v>
      </c>
      <c r="I277">
        <v>6</v>
      </c>
      <c r="J277" s="8">
        <v>635.04999999999995</v>
      </c>
      <c r="K277" t="str">
        <f>"Q"&amp;ROUNDUP(MONTH(Table13[[#This Row],[Date]])/3,0)</f>
        <v>Q1</v>
      </c>
    </row>
    <row r="278" spans="1:11" x14ac:dyDescent="0.35">
      <c r="A278" s="4" t="s">
        <v>296</v>
      </c>
      <c r="B278" s="6">
        <v>45522</v>
      </c>
      <c r="C278" s="6" t="str">
        <f>TEXT(Table13[[#This Row],[Date]],"MMM")</f>
        <v>Aug</v>
      </c>
      <c r="D278" s="6" t="str">
        <f>TEXT(Table13[[#This Row],[Date]],"YYYY")</f>
        <v>2024</v>
      </c>
      <c r="E278" s="4" t="s">
        <v>9</v>
      </c>
      <c r="F278" s="4" t="s">
        <v>10</v>
      </c>
      <c r="G278" s="4" t="s">
        <v>11</v>
      </c>
      <c r="H278" s="8">
        <v>923.69</v>
      </c>
      <c r="I278">
        <v>6</v>
      </c>
      <c r="J278" s="8">
        <v>124.06</v>
      </c>
      <c r="K278" t="str">
        <f>"Q"&amp;ROUNDUP(MONTH(Table13[[#This Row],[Date]])/3,0)</f>
        <v>Q3</v>
      </c>
    </row>
    <row r="279" spans="1:11" x14ac:dyDescent="0.35">
      <c r="A279" s="4" t="s">
        <v>297</v>
      </c>
      <c r="B279" s="6">
        <v>45628</v>
      </c>
      <c r="C279" s="6" t="str">
        <f>TEXT(Table13[[#This Row],[Date]],"MMM")</f>
        <v>Dec</v>
      </c>
      <c r="D279" s="6" t="str">
        <f>TEXT(Table13[[#This Row],[Date]],"YYYY")</f>
        <v>2024</v>
      </c>
      <c r="E279" s="4" t="s">
        <v>23</v>
      </c>
      <c r="F279" s="4" t="s">
        <v>16</v>
      </c>
      <c r="G279" s="4" t="s">
        <v>19</v>
      </c>
      <c r="H279" s="8">
        <v>8110.48</v>
      </c>
      <c r="I279">
        <v>8</v>
      </c>
      <c r="J279" s="8">
        <v>785.04</v>
      </c>
      <c r="K279" t="str">
        <f>"Q"&amp;ROUNDUP(MONTH(Table13[[#This Row],[Date]])/3,0)</f>
        <v>Q4</v>
      </c>
    </row>
    <row r="280" spans="1:11" x14ac:dyDescent="0.35">
      <c r="A280" s="4" t="s">
        <v>298</v>
      </c>
      <c r="B280" s="6">
        <v>44991</v>
      </c>
      <c r="C280" s="6" t="str">
        <f>TEXT(Table13[[#This Row],[Date]],"MMM")</f>
        <v>Mar</v>
      </c>
      <c r="D280" s="6" t="str">
        <f>TEXT(Table13[[#This Row],[Date]],"YYYY")</f>
        <v>2023</v>
      </c>
      <c r="E280" s="4" t="s">
        <v>15</v>
      </c>
      <c r="F280" s="4" t="s">
        <v>16</v>
      </c>
      <c r="G280" s="4" t="s">
        <v>19</v>
      </c>
      <c r="H280" s="8">
        <v>461.39</v>
      </c>
      <c r="I280">
        <v>8</v>
      </c>
      <c r="J280" s="8">
        <v>48.85</v>
      </c>
      <c r="K280" t="str">
        <f>"Q"&amp;ROUNDUP(MONTH(Table13[[#This Row],[Date]])/3,0)</f>
        <v>Q1</v>
      </c>
    </row>
    <row r="281" spans="1:11" x14ac:dyDescent="0.35">
      <c r="A281" s="4" t="s">
        <v>299</v>
      </c>
      <c r="B281" s="6">
        <v>45250</v>
      </c>
      <c r="C281" s="6" t="str">
        <f>TEXT(Table13[[#This Row],[Date]],"MMM")</f>
        <v>Nov</v>
      </c>
      <c r="D281" s="6" t="str">
        <f>TEXT(Table13[[#This Row],[Date]],"YYYY")</f>
        <v>2023</v>
      </c>
      <c r="E281" s="4" t="s">
        <v>15</v>
      </c>
      <c r="F281" s="4" t="s">
        <v>16</v>
      </c>
      <c r="G281" s="4" t="s">
        <v>11</v>
      </c>
      <c r="H281" s="8">
        <v>3155.82</v>
      </c>
      <c r="I281">
        <v>5</v>
      </c>
      <c r="J281" s="8">
        <v>422</v>
      </c>
      <c r="K281" t="str">
        <f>"Q"&amp;ROUNDUP(MONTH(Table13[[#This Row],[Date]])/3,0)</f>
        <v>Q4</v>
      </c>
    </row>
    <row r="282" spans="1:11" x14ac:dyDescent="0.35">
      <c r="A282" s="4" t="s">
        <v>300</v>
      </c>
      <c r="B282" s="6">
        <v>45186</v>
      </c>
      <c r="C282" s="6" t="str">
        <f>TEXT(Table13[[#This Row],[Date]],"MMM")</f>
        <v>Sep</v>
      </c>
      <c r="D282" s="6" t="str">
        <f>TEXT(Table13[[#This Row],[Date]],"YYYY")</f>
        <v>2023</v>
      </c>
      <c r="E282" s="4" t="s">
        <v>25</v>
      </c>
      <c r="F282" s="4" t="s">
        <v>16</v>
      </c>
      <c r="G282" s="4" t="s">
        <v>21</v>
      </c>
      <c r="H282" s="8">
        <v>714.77</v>
      </c>
      <c r="I282">
        <v>1</v>
      </c>
      <c r="J282" s="8">
        <v>607.57000000000005</v>
      </c>
      <c r="K282" t="str">
        <f>"Q"&amp;ROUNDUP(MONTH(Table13[[#This Row],[Date]])/3,0)</f>
        <v>Q3</v>
      </c>
    </row>
    <row r="283" spans="1:11" x14ac:dyDescent="0.35">
      <c r="A283" s="4" t="s">
        <v>301</v>
      </c>
      <c r="B283" s="6">
        <v>45598</v>
      </c>
      <c r="C283" s="6" t="str">
        <f>TEXT(Table13[[#This Row],[Date]],"MMM")</f>
        <v>Nov</v>
      </c>
      <c r="D283" s="6" t="str">
        <f>TEXT(Table13[[#This Row],[Date]],"YYYY")</f>
        <v>2024</v>
      </c>
      <c r="E283" s="4" t="s">
        <v>23</v>
      </c>
      <c r="F283" s="4" t="s">
        <v>16</v>
      </c>
      <c r="G283" s="4" t="s">
        <v>11</v>
      </c>
      <c r="H283" s="8">
        <v>1985.73</v>
      </c>
      <c r="I283">
        <v>6</v>
      </c>
      <c r="J283" s="8">
        <v>233.11</v>
      </c>
      <c r="K283" t="str">
        <f>"Q"&amp;ROUNDUP(MONTH(Table13[[#This Row],[Date]])/3,0)</f>
        <v>Q4</v>
      </c>
    </row>
    <row r="284" spans="1:11" x14ac:dyDescent="0.35">
      <c r="A284" s="4" t="s">
        <v>302</v>
      </c>
      <c r="B284" s="6">
        <v>45377</v>
      </c>
      <c r="C284" s="6" t="str">
        <f>TEXT(Table13[[#This Row],[Date]],"MMM")</f>
        <v>Mar</v>
      </c>
      <c r="D284" s="6" t="str">
        <f>TEXT(Table13[[#This Row],[Date]],"YYYY")</f>
        <v>2024</v>
      </c>
      <c r="E284" s="4" t="s">
        <v>18</v>
      </c>
      <c r="F284" s="4" t="s">
        <v>10</v>
      </c>
      <c r="G284" s="4" t="s">
        <v>21</v>
      </c>
      <c r="H284" s="8">
        <v>2339.06</v>
      </c>
      <c r="I284">
        <v>7</v>
      </c>
      <c r="J284" s="8">
        <v>284.45</v>
      </c>
      <c r="K284" t="str">
        <f>"Q"&amp;ROUNDUP(MONTH(Table13[[#This Row],[Date]])/3,0)</f>
        <v>Q1</v>
      </c>
    </row>
    <row r="285" spans="1:11" x14ac:dyDescent="0.35">
      <c r="A285" s="4" t="s">
        <v>303</v>
      </c>
      <c r="B285" s="6">
        <v>45303</v>
      </c>
      <c r="C285" s="6" t="str">
        <f>TEXT(Table13[[#This Row],[Date]],"MMM")</f>
        <v>Jan</v>
      </c>
      <c r="D285" s="6" t="str">
        <f>TEXT(Table13[[#This Row],[Date]],"YYYY")</f>
        <v>2024</v>
      </c>
      <c r="E285" s="4" t="s">
        <v>9</v>
      </c>
      <c r="F285" s="4" t="s">
        <v>10</v>
      </c>
      <c r="G285" s="4" t="s">
        <v>21</v>
      </c>
      <c r="H285" s="8">
        <v>2325.42</v>
      </c>
      <c r="I285">
        <v>9</v>
      </c>
      <c r="J285" s="8">
        <v>228.04</v>
      </c>
      <c r="K285" t="str">
        <f>"Q"&amp;ROUNDUP(MONTH(Table13[[#This Row],[Date]])/3,0)</f>
        <v>Q1</v>
      </c>
    </row>
    <row r="286" spans="1:11" x14ac:dyDescent="0.35">
      <c r="A286" s="4" t="s">
        <v>304</v>
      </c>
      <c r="B286" s="6">
        <v>45367</v>
      </c>
      <c r="C286" s="6" t="str">
        <f>TEXT(Table13[[#This Row],[Date]],"MMM")</f>
        <v>Mar</v>
      </c>
      <c r="D286" s="6" t="str">
        <f>TEXT(Table13[[#This Row],[Date]],"YYYY")</f>
        <v>2024</v>
      </c>
      <c r="E286" s="4" t="s">
        <v>18</v>
      </c>
      <c r="F286" s="4" t="s">
        <v>10</v>
      </c>
      <c r="G286" s="4" t="s">
        <v>11</v>
      </c>
      <c r="H286" s="8">
        <v>9332.68</v>
      </c>
      <c r="I286">
        <v>10</v>
      </c>
      <c r="J286" s="8">
        <v>796.18</v>
      </c>
      <c r="K286" t="str">
        <f>"Q"&amp;ROUNDUP(MONTH(Table13[[#This Row],[Date]])/3,0)</f>
        <v>Q1</v>
      </c>
    </row>
    <row r="287" spans="1:11" x14ac:dyDescent="0.35">
      <c r="A287" s="4" t="s">
        <v>305</v>
      </c>
      <c r="B287" s="6">
        <v>45032</v>
      </c>
      <c r="C287" s="6" t="str">
        <f>TEXT(Table13[[#This Row],[Date]],"MMM")</f>
        <v>Apr</v>
      </c>
      <c r="D287" s="6" t="str">
        <f>TEXT(Table13[[#This Row],[Date]],"YYYY")</f>
        <v>2023</v>
      </c>
      <c r="E287" s="4" t="s">
        <v>23</v>
      </c>
      <c r="F287" s="4" t="s">
        <v>16</v>
      </c>
      <c r="G287" s="4" t="s">
        <v>26</v>
      </c>
      <c r="H287" s="8">
        <v>671.94</v>
      </c>
      <c r="I287">
        <v>2</v>
      </c>
      <c r="J287" s="8">
        <v>275.77999999999997</v>
      </c>
      <c r="K287" t="str">
        <f>"Q"&amp;ROUNDUP(MONTH(Table13[[#This Row],[Date]])/3,0)</f>
        <v>Q2</v>
      </c>
    </row>
    <row r="288" spans="1:11" x14ac:dyDescent="0.35">
      <c r="A288" s="4" t="s">
        <v>306</v>
      </c>
      <c r="B288" s="6">
        <v>45097</v>
      </c>
      <c r="C288" s="6" t="str">
        <f>TEXT(Table13[[#This Row],[Date]],"MMM")</f>
        <v>Jun</v>
      </c>
      <c r="D288" s="6" t="str">
        <f>TEXT(Table13[[#This Row],[Date]],"YYYY")</f>
        <v>2023</v>
      </c>
      <c r="E288" s="4" t="s">
        <v>18</v>
      </c>
      <c r="F288" s="4" t="s">
        <v>10</v>
      </c>
      <c r="G288" s="4" t="s">
        <v>21</v>
      </c>
      <c r="H288" s="8">
        <v>2628.92</v>
      </c>
      <c r="I288">
        <v>8</v>
      </c>
      <c r="J288" s="8">
        <v>294.20999999999998</v>
      </c>
      <c r="K288" t="str">
        <f>"Q"&amp;ROUNDUP(MONTH(Table13[[#This Row],[Date]])/3,0)</f>
        <v>Q2</v>
      </c>
    </row>
    <row r="289" spans="1:11" x14ac:dyDescent="0.35">
      <c r="A289" s="4" t="s">
        <v>307</v>
      </c>
      <c r="B289" s="6">
        <v>45208</v>
      </c>
      <c r="C289" s="6" t="str">
        <f>TEXT(Table13[[#This Row],[Date]],"MMM")</f>
        <v>Oct</v>
      </c>
      <c r="D289" s="6" t="str">
        <f>TEXT(Table13[[#This Row],[Date]],"YYYY")</f>
        <v>2023</v>
      </c>
      <c r="E289" s="4" t="s">
        <v>23</v>
      </c>
      <c r="F289" s="4" t="s">
        <v>16</v>
      </c>
      <c r="G289" s="4" t="s">
        <v>21</v>
      </c>
      <c r="H289" s="8">
        <v>106.41</v>
      </c>
      <c r="I289">
        <v>1</v>
      </c>
      <c r="J289" s="8">
        <v>78.53</v>
      </c>
      <c r="K289" t="str">
        <f>"Q"&amp;ROUNDUP(MONTH(Table13[[#This Row],[Date]])/3,0)</f>
        <v>Q4</v>
      </c>
    </row>
    <row r="290" spans="1:11" x14ac:dyDescent="0.35">
      <c r="A290" s="4" t="s">
        <v>308</v>
      </c>
      <c r="B290" s="6">
        <v>44958</v>
      </c>
      <c r="C290" s="6" t="str">
        <f>TEXT(Table13[[#This Row],[Date]],"MMM")</f>
        <v>Feb</v>
      </c>
      <c r="D290" s="6" t="str">
        <f>TEXT(Table13[[#This Row],[Date]],"YYYY")</f>
        <v>2023</v>
      </c>
      <c r="E290" s="4" t="s">
        <v>23</v>
      </c>
      <c r="F290" s="4" t="s">
        <v>16</v>
      </c>
      <c r="G290" s="4" t="s">
        <v>19</v>
      </c>
      <c r="H290" s="8">
        <v>2805.38</v>
      </c>
      <c r="I290">
        <v>3</v>
      </c>
      <c r="J290" s="8">
        <v>681.96</v>
      </c>
      <c r="K290" t="str">
        <f>"Q"&amp;ROUNDUP(MONTH(Table13[[#This Row],[Date]])/3,0)</f>
        <v>Q1</v>
      </c>
    </row>
    <row r="291" spans="1:11" x14ac:dyDescent="0.35">
      <c r="A291" s="4" t="s">
        <v>309</v>
      </c>
      <c r="B291" s="6">
        <v>45056</v>
      </c>
      <c r="C291" s="6" t="str">
        <f>TEXT(Table13[[#This Row],[Date]],"MMM")</f>
        <v>May</v>
      </c>
      <c r="D291" s="6" t="str">
        <f>TEXT(Table13[[#This Row],[Date]],"YYYY")</f>
        <v>2023</v>
      </c>
      <c r="E291" s="4" t="s">
        <v>18</v>
      </c>
      <c r="F291" s="4" t="s">
        <v>10</v>
      </c>
      <c r="G291" s="4" t="s">
        <v>11</v>
      </c>
      <c r="H291" s="8">
        <v>554.30999999999995</v>
      </c>
      <c r="I291">
        <v>2</v>
      </c>
      <c r="J291" s="8">
        <v>204.08</v>
      </c>
      <c r="K291" t="str">
        <f>"Q"&amp;ROUNDUP(MONTH(Table13[[#This Row],[Date]])/3,0)</f>
        <v>Q2</v>
      </c>
    </row>
    <row r="292" spans="1:11" x14ac:dyDescent="0.35">
      <c r="A292" s="4" t="s">
        <v>310</v>
      </c>
      <c r="B292" s="6">
        <v>45507</v>
      </c>
      <c r="C292" s="6" t="str">
        <f>TEXT(Table13[[#This Row],[Date]],"MMM")</f>
        <v>Aug</v>
      </c>
      <c r="D292" s="6" t="str">
        <f>TEXT(Table13[[#This Row],[Date]],"YYYY")</f>
        <v>2024</v>
      </c>
      <c r="E292" s="4" t="s">
        <v>23</v>
      </c>
      <c r="F292" s="4" t="s">
        <v>16</v>
      </c>
      <c r="G292" s="4" t="s">
        <v>21</v>
      </c>
      <c r="H292" s="8">
        <v>674.8</v>
      </c>
      <c r="I292">
        <v>1</v>
      </c>
      <c r="J292" s="8">
        <v>491.97</v>
      </c>
      <c r="K292" t="str">
        <f>"Q"&amp;ROUNDUP(MONTH(Table13[[#This Row],[Date]])/3,0)</f>
        <v>Q3</v>
      </c>
    </row>
    <row r="293" spans="1:11" x14ac:dyDescent="0.35">
      <c r="A293" s="4" t="s">
        <v>311</v>
      </c>
      <c r="B293" s="6">
        <v>45381</v>
      </c>
      <c r="C293" s="6" t="str">
        <f>TEXT(Table13[[#This Row],[Date]],"MMM")</f>
        <v>Mar</v>
      </c>
      <c r="D293" s="6" t="str">
        <f>TEXT(Table13[[#This Row],[Date]],"YYYY")</f>
        <v>2024</v>
      </c>
      <c r="E293" s="4" t="s">
        <v>23</v>
      </c>
      <c r="F293" s="4" t="s">
        <v>16</v>
      </c>
      <c r="G293" s="4" t="s">
        <v>26</v>
      </c>
      <c r="H293" s="8">
        <v>1226.94</v>
      </c>
      <c r="I293">
        <v>2</v>
      </c>
      <c r="J293" s="8">
        <v>467.66</v>
      </c>
      <c r="K293" t="str">
        <f>"Q"&amp;ROUNDUP(MONTH(Table13[[#This Row],[Date]])/3,0)</f>
        <v>Q1</v>
      </c>
    </row>
    <row r="294" spans="1:11" x14ac:dyDescent="0.35">
      <c r="A294" s="4" t="s">
        <v>312</v>
      </c>
      <c r="B294" s="6">
        <v>45592</v>
      </c>
      <c r="C294" s="6" t="str">
        <f>TEXT(Table13[[#This Row],[Date]],"MMM")</f>
        <v>Oct</v>
      </c>
      <c r="D294" s="6" t="str">
        <f>TEXT(Table13[[#This Row],[Date]],"YYYY")</f>
        <v>2024</v>
      </c>
      <c r="E294" s="4" t="s">
        <v>18</v>
      </c>
      <c r="F294" s="4" t="s">
        <v>10</v>
      </c>
      <c r="G294" s="4" t="s">
        <v>26</v>
      </c>
      <c r="H294" s="8">
        <v>1229.56</v>
      </c>
      <c r="I294">
        <v>5</v>
      </c>
      <c r="J294" s="8">
        <v>214.7</v>
      </c>
      <c r="K294" t="str">
        <f>"Q"&amp;ROUNDUP(MONTH(Table13[[#This Row],[Date]])/3,0)</f>
        <v>Q4</v>
      </c>
    </row>
    <row r="295" spans="1:11" x14ac:dyDescent="0.35">
      <c r="A295" s="4" t="s">
        <v>313</v>
      </c>
      <c r="B295" s="6">
        <v>45438</v>
      </c>
      <c r="C295" s="6" t="str">
        <f>TEXT(Table13[[#This Row],[Date]],"MMM")</f>
        <v>May</v>
      </c>
      <c r="D295" s="6" t="str">
        <f>TEXT(Table13[[#This Row],[Date]],"YYYY")</f>
        <v>2024</v>
      </c>
      <c r="E295" s="4" t="s">
        <v>9</v>
      </c>
      <c r="F295" s="4" t="s">
        <v>10</v>
      </c>
      <c r="G295" s="4" t="s">
        <v>19</v>
      </c>
      <c r="H295" s="8">
        <v>3837.1</v>
      </c>
      <c r="I295">
        <v>9</v>
      </c>
      <c r="J295" s="8">
        <v>321.85000000000002</v>
      </c>
      <c r="K295" t="str">
        <f>"Q"&amp;ROUNDUP(MONTH(Table13[[#This Row],[Date]])/3,0)</f>
        <v>Q2</v>
      </c>
    </row>
    <row r="296" spans="1:11" x14ac:dyDescent="0.35">
      <c r="A296" s="4" t="s">
        <v>314</v>
      </c>
      <c r="B296" s="6">
        <v>45647</v>
      </c>
      <c r="C296" s="6" t="str">
        <f>TEXT(Table13[[#This Row],[Date]],"MMM")</f>
        <v>Dec</v>
      </c>
      <c r="D296" s="6" t="str">
        <f>TEXT(Table13[[#This Row],[Date]],"YYYY")</f>
        <v>2024</v>
      </c>
      <c r="E296" s="4" t="s">
        <v>23</v>
      </c>
      <c r="F296" s="4" t="s">
        <v>16</v>
      </c>
      <c r="G296" s="4" t="s">
        <v>26</v>
      </c>
      <c r="H296" s="8">
        <v>2015.62</v>
      </c>
      <c r="I296">
        <v>8</v>
      </c>
      <c r="J296" s="8">
        <v>187.36</v>
      </c>
      <c r="K296" t="str">
        <f>"Q"&amp;ROUNDUP(MONTH(Table13[[#This Row],[Date]])/3,0)</f>
        <v>Q4</v>
      </c>
    </row>
    <row r="297" spans="1:11" x14ac:dyDescent="0.35">
      <c r="A297" s="4" t="s">
        <v>315</v>
      </c>
      <c r="B297" s="6">
        <v>45131</v>
      </c>
      <c r="C297" s="6" t="str">
        <f>TEXT(Table13[[#This Row],[Date]],"MMM")</f>
        <v>Jul</v>
      </c>
      <c r="D297" s="6" t="str">
        <f>TEXT(Table13[[#This Row],[Date]],"YYYY")</f>
        <v>2023</v>
      </c>
      <c r="E297" s="4" t="s">
        <v>9</v>
      </c>
      <c r="F297" s="4" t="s">
        <v>10</v>
      </c>
      <c r="G297" s="4" t="s">
        <v>21</v>
      </c>
      <c r="H297" s="8">
        <v>284.37</v>
      </c>
      <c r="I297">
        <v>2</v>
      </c>
      <c r="J297" s="8">
        <v>125.87</v>
      </c>
      <c r="K297" t="str">
        <f>"Q"&amp;ROUNDUP(MONTH(Table13[[#This Row],[Date]])/3,0)</f>
        <v>Q3</v>
      </c>
    </row>
    <row r="298" spans="1:11" x14ac:dyDescent="0.35">
      <c r="A298" s="4" t="s">
        <v>316</v>
      </c>
      <c r="B298" s="6">
        <v>45016</v>
      </c>
      <c r="C298" s="6" t="str">
        <f>TEXT(Table13[[#This Row],[Date]],"MMM")</f>
        <v>Mar</v>
      </c>
      <c r="D298" s="6" t="str">
        <f>TEXT(Table13[[#This Row],[Date]],"YYYY")</f>
        <v>2023</v>
      </c>
      <c r="E298" s="4" t="s">
        <v>15</v>
      </c>
      <c r="F298" s="4" t="s">
        <v>16</v>
      </c>
      <c r="G298" s="4" t="s">
        <v>21</v>
      </c>
      <c r="H298" s="8">
        <v>4491.2</v>
      </c>
      <c r="I298">
        <v>6</v>
      </c>
      <c r="J298" s="8">
        <v>540.91999999999996</v>
      </c>
      <c r="K298" t="str">
        <f>"Q"&amp;ROUNDUP(MONTH(Table13[[#This Row],[Date]])/3,0)</f>
        <v>Q1</v>
      </c>
    </row>
    <row r="299" spans="1:11" x14ac:dyDescent="0.35">
      <c r="A299" s="4" t="s">
        <v>317</v>
      </c>
      <c r="B299" s="6">
        <v>45234</v>
      </c>
      <c r="C299" s="6" t="str">
        <f>TEXT(Table13[[#This Row],[Date]],"MMM")</f>
        <v>Nov</v>
      </c>
      <c r="D299" s="6" t="str">
        <f>TEXT(Table13[[#This Row],[Date]],"YYYY")</f>
        <v>2023</v>
      </c>
      <c r="E299" s="4" t="s">
        <v>25</v>
      </c>
      <c r="F299" s="4" t="s">
        <v>16</v>
      </c>
      <c r="G299" s="4" t="s">
        <v>26</v>
      </c>
      <c r="H299" s="8">
        <v>2538.2800000000002</v>
      </c>
      <c r="I299">
        <v>3</v>
      </c>
      <c r="J299" s="8">
        <v>575.21</v>
      </c>
      <c r="K299" t="str">
        <f>"Q"&amp;ROUNDUP(MONTH(Table13[[#This Row],[Date]])/3,0)</f>
        <v>Q4</v>
      </c>
    </row>
    <row r="300" spans="1:11" x14ac:dyDescent="0.35">
      <c r="A300" s="4" t="s">
        <v>318</v>
      </c>
      <c r="B300" s="6">
        <v>45297</v>
      </c>
      <c r="C300" s="6" t="str">
        <f>TEXT(Table13[[#This Row],[Date]],"MMM")</f>
        <v>Jan</v>
      </c>
      <c r="D300" s="6" t="str">
        <f>TEXT(Table13[[#This Row],[Date]],"YYYY")</f>
        <v>2024</v>
      </c>
      <c r="E300" s="4" t="s">
        <v>9</v>
      </c>
      <c r="F300" s="4" t="s">
        <v>10</v>
      </c>
      <c r="G300" s="4" t="s">
        <v>19</v>
      </c>
      <c r="H300" s="8">
        <v>2620.85</v>
      </c>
      <c r="I300">
        <v>9</v>
      </c>
      <c r="J300" s="8">
        <v>194.91</v>
      </c>
      <c r="K300" t="str">
        <f>"Q"&amp;ROUNDUP(MONTH(Table13[[#This Row],[Date]])/3,0)</f>
        <v>Q1</v>
      </c>
    </row>
    <row r="301" spans="1:11" x14ac:dyDescent="0.35">
      <c r="A301" s="4" t="s">
        <v>319</v>
      </c>
      <c r="B301" s="6">
        <v>45432</v>
      </c>
      <c r="C301" s="6" t="str">
        <f>TEXT(Table13[[#This Row],[Date]],"MMM")</f>
        <v>May</v>
      </c>
      <c r="D301" s="6" t="str">
        <f>TEXT(Table13[[#This Row],[Date]],"YYYY")</f>
        <v>2024</v>
      </c>
      <c r="E301" s="4" t="s">
        <v>15</v>
      </c>
      <c r="F301" s="4" t="s">
        <v>16</v>
      </c>
      <c r="G301" s="4" t="s">
        <v>19</v>
      </c>
      <c r="H301" s="8">
        <v>400.67</v>
      </c>
      <c r="I301">
        <v>1</v>
      </c>
      <c r="J301" s="8">
        <v>301.5</v>
      </c>
      <c r="K301" t="str">
        <f>"Q"&amp;ROUNDUP(MONTH(Table13[[#This Row],[Date]])/3,0)</f>
        <v>Q2</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24B24-AA90-4580-A7EC-4472D4C1DB51}">
  <dimension ref="A3:T71"/>
  <sheetViews>
    <sheetView topLeftCell="B5" zoomScale="81" zoomScaleNormal="81" workbookViewId="0">
      <selection activeCell="L13" sqref="L13"/>
    </sheetView>
  </sheetViews>
  <sheetFormatPr defaultRowHeight="14.5" x14ac:dyDescent="0.35"/>
  <cols>
    <col min="1" max="2" width="13.1796875" bestFit="1" customWidth="1"/>
    <col min="3" max="3" width="11.1796875" bestFit="1" customWidth="1"/>
    <col min="4" max="4" width="11.7265625" bestFit="1" customWidth="1"/>
    <col min="5" max="5" width="12.1796875" bestFit="1" customWidth="1"/>
    <col min="6" max="6" width="11.7265625" bestFit="1" customWidth="1"/>
    <col min="12" max="12" width="13.1796875" bestFit="1" customWidth="1"/>
    <col min="13" max="13" width="11.7265625" bestFit="1" customWidth="1"/>
  </cols>
  <sheetData>
    <row r="3" spans="1:20" x14ac:dyDescent="0.35">
      <c r="A3" s="9" t="s">
        <v>322</v>
      </c>
      <c r="B3" t="s">
        <v>326</v>
      </c>
    </row>
    <row r="4" spans="1:20" x14ac:dyDescent="0.35">
      <c r="A4" s="10" t="s">
        <v>323</v>
      </c>
      <c r="B4" s="15">
        <v>365643.99000000028</v>
      </c>
    </row>
    <row r="5" spans="1:20" x14ac:dyDescent="0.35">
      <c r="A5" s="10" t="s">
        <v>324</v>
      </c>
      <c r="B5" s="15">
        <v>475604.68999999954</v>
      </c>
    </row>
    <row r="6" spans="1:20" x14ac:dyDescent="0.35">
      <c r="A6" s="10" t="s">
        <v>325</v>
      </c>
      <c r="B6" s="15">
        <v>841248.67999999982</v>
      </c>
      <c r="E6" s="9" t="s">
        <v>322</v>
      </c>
      <c r="F6" t="s">
        <v>326</v>
      </c>
    </row>
    <row r="7" spans="1:20" x14ac:dyDescent="0.35">
      <c r="E7" s="10" t="s">
        <v>323</v>
      </c>
      <c r="F7" s="15">
        <v>365643.99000000028</v>
      </c>
    </row>
    <row r="8" spans="1:20" x14ac:dyDescent="0.35">
      <c r="E8" s="10" t="s">
        <v>324</v>
      </c>
      <c r="F8" s="15">
        <v>475604.68999999954</v>
      </c>
    </row>
    <row r="9" spans="1:20" x14ac:dyDescent="0.35">
      <c r="E9" s="10" t="s">
        <v>325</v>
      </c>
      <c r="F9" s="15">
        <v>841248.67999999982</v>
      </c>
    </row>
    <row r="10" spans="1:20" x14ac:dyDescent="0.35">
      <c r="R10" s="19"/>
      <c r="S10" s="20"/>
      <c r="T10" s="21"/>
    </row>
    <row r="11" spans="1:20" x14ac:dyDescent="0.35">
      <c r="R11" s="22"/>
      <c r="S11" s="23"/>
      <c r="T11" s="24"/>
    </row>
    <row r="12" spans="1:20" x14ac:dyDescent="0.35">
      <c r="R12" s="22"/>
      <c r="S12" s="23"/>
      <c r="T12" s="24"/>
    </row>
    <row r="13" spans="1:20" x14ac:dyDescent="0.35">
      <c r="L13" s="9" t="s">
        <v>322</v>
      </c>
      <c r="M13" t="s">
        <v>326</v>
      </c>
      <c r="R13" s="22"/>
      <c r="S13" s="23"/>
      <c r="T13" s="24"/>
    </row>
    <row r="14" spans="1:20" x14ac:dyDescent="0.35">
      <c r="L14" s="10" t="s">
        <v>16</v>
      </c>
      <c r="M14" s="8">
        <v>456239.32</v>
      </c>
      <c r="R14" s="22"/>
      <c r="S14" s="23"/>
      <c r="T14" s="24"/>
    </row>
    <row r="15" spans="1:20" x14ac:dyDescent="0.35">
      <c r="L15" s="18" t="s">
        <v>350</v>
      </c>
      <c r="M15" s="8">
        <v>128507.21999999999</v>
      </c>
      <c r="R15" s="22"/>
      <c r="S15" s="23"/>
      <c r="T15" s="24"/>
    </row>
    <row r="16" spans="1:20" x14ac:dyDescent="0.35">
      <c r="L16" s="18" t="s">
        <v>351</v>
      </c>
      <c r="M16" s="8">
        <v>95547.910000000018</v>
      </c>
      <c r="R16" s="22"/>
      <c r="S16" s="23"/>
      <c r="T16" s="24"/>
    </row>
    <row r="17" spans="1:20" x14ac:dyDescent="0.35">
      <c r="A17" s="9" t="s">
        <v>322</v>
      </c>
      <c r="B17" t="s">
        <v>329</v>
      </c>
      <c r="C17" t="s">
        <v>326</v>
      </c>
      <c r="L17" s="18" t="s">
        <v>352</v>
      </c>
      <c r="M17" s="8">
        <v>110742.79000000002</v>
      </c>
      <c r="R17" s="22"/>
      <c r="S17" s="23"/>
      <c r="T17" s="24"/>
    </row>
    <row r="18" spans="1:20" x14ac:dyDescent="0.35">
      <c r="A18" s="10" t="s">
        <v>350</v>
      </c>
      <c r="B18" s="15">
        <v>190122.34999999998</v>
      </c>
      <c r="C18" s="15">
        <v>219961.11000000004</v>
      </c>
      <c r="L18" s="18" t="s">
        <v>353</v>
      </c>
      <c r="M18" s="8">
        <v>121441.39999999998</v>
      </c>
      <c r="R18" s="22"/>
      <c r="S18" s="23"/>
      <c r="T18" s="24"/>
    </row>
    <row r="19" spans="1:20" x14ac:dyDescent="0.35">
      <c r="A19" s="10" t="s">
        <v>351</v>
      </c>
      <c r="B19" s="15">
        <v>149040.13000000006</v>
      </c>
      <c r="C19" s="15">
        <v>173419.96000000005</v>
      </c>
      <c r="F19" s="9" t="s">
        <v>322</v>
      </c>
      <c r="G19" t="s">
        <v>326</v>
      </c>
      <c r="L19" s="10" t="s">
        <v>10</v>
      </c>
      <c r="M19" s="8">
        <v>385009.36</v>
      </c>
      <c r="R19" s="22"/>
      <c r="S19" s="23"/>
      <c r="T19" s="24"/>
    </row>
    <row r="20" spans="1:20" x14ac:dyDescent="0.35">
      <c r="A20" s="10" t="s">
        <v>352</v>
      </c>
      <c r="B20" s="15">
        <v>188806.37999999995</v>
      </c>
      <c r="C20" s="15">
        <v>223581.24999999991</v>
      </c>
      <c r="F20" s="10" t="s">
        <v>11</v>
      </c>
      <c r="G20" s="15">
        <v>183466.9</v>
      </c>
      <c r="L20" s="18" t="s">
        <v>350</v>
      </c>
      <c r="M20" s="8">
        <v>91453.890000000014</v>
      </c>
      <c r="R20" s="22"/>
      <c r="S20" s="23"/>
      <c r="T20" s="24"/>
    </row>
    <row r="21" spans="1:20" x14ac:dyDescent="0.35">
      <c r="A21" s="10" t="s">
        <v>353</v>
      </c>
      <c r="B21" s="15">
        <v>191759.92000000007</v>
      </c>
      <c r="C21" s="15">
        <v>224286.36</v>
      </c>
      <c r="F21" s="10" t="s">
        <v>26</v>
      </c>
      <c r="G21" s="15">
        <v>182263.16999999998</v>
      </c>
      <c r="L21" s="18" t="s">
        <v>351</v>
      </c>
      <c r="M21" s="8">
        <v>77872.050000000017</v>
      </c>
      <c r="R21" s="22"/>
      <c r="S21" s="23"/>
      <c r="T21" s="24"/>
    </row>
    <row r="22" spans="1:20" x14ac:dyDescent="0.35">
      <c r="A22" s="10" t="s">
        <v>325</v>
      </c>
      <c r="B22" s="15">
        <v>719728.78</v>
      </c>
      <c r="C22" s="15">
        <v>841248.67999999993</v>
      </c>
      <c r="F22" s="10" t="s">
        <v>21</v>
      </c>
      <c r="G22" s="15">
        <v>269325.7699999999</v>
      </c>
      <c r="L22" s="18" t="s">
        <v>352</v>
      </c>
      <c r="M22" s="8">
        <v>112838.46</v>
      </c>
      <c r="R22" s="22"/>
      <c r="S22" s="23"/>
      <c r="T22" s="24"/>
    </row>
    <row r="23" spans="1:20" x14ac:dyDescent="0.35">
      <c r="F23" s="10" t="s">
        <v>19</v>
      </c>
      <c r="G23" s="15">
        <v>206192.84</v>
      </c>
      <c r="L23" s="18" t="s">
        <v>353</v>
      </c>
      <c r="M23" s="8">
        <v>102844.95999999999</v>
      </c>
      <c r="R23" s="22"/>
      <c r="S23" s="23"/>
      <c r="T23" s="24"/>
    </row>
    <row r="24" spans="1:20" x14ac:dyDescent="0.35">
      <c r="F24" s="10" t="s">
        <v>325</v>
      </c>
      <c r="G24" s="15">
        <v>841248.67999999982</v>
      </c>
      <c r="L24" s="10" t="s">
        <v>325</v>
      </c>
      <c r="M24" s="8">
        <v>841248.67999999993</v>
      </c>
      <c r="R24" s="22"/>
      <c r="S24" s="23"/>
      <c r="T24" s="24"/>
    </row>
    <row r="25" spans="1:20" x14ac:dyDescent="0.35">
      <c r="R25" s="22"/>
      <c r="S25" s="23"/>
      <c r="T25" s="24"/>
    </row>
    <row r="26" spans="1:20" x14ac:dyDescent="0.35">
      <c r="R26" s="22"/>
      <c r="S26" s="23"/>
      <c r="T26" s="24"/>
    </row>
    <row r="27" spans="1:20" x14ac:dyDescent="0.35">
      <c r="R27" s="25"/>
      <c r="S27" s="26"/>
      <c r="T27" s="27"/>
    </row>
    <row r="34" spans="2:3" x14ac:dyDescent="0.35">
      <c r="B34" s="9" t="s">
        <v>322</v>
      </c>
      <c r="C34" t="s">
        <v>329</v>
      </c>
    </row>
    <row r="35" spans="2:3" x14ac:dyDescent="0.35">
      <c r="B35" s="10" t="s">
        <v>16</v>
      </c>
      <c r="C35" s="15">
        <v>392069.76000000007</v>
      </c>
    </row>
    <row r="36" spans="2:3" x14ac:dyDescent="0.35">
      <c r="B36" s="18" t="s">
        <v>25</v>
      </c>
      <c r="C36" s="15">
        <v>142200.42000000007</v>
      </c>
    </row>
    <row r="37" spans="2:3" x14ac:dyDescent="0.35">
      <c r="B37" s="18" t="s">
        <v>23</v>
      </c>
      <c r="C37" s="15">
        <v>122450.02</v>
      </c>
    </row>
    <row r="38" spans="2:3" x14ac:dyDescent="0.35">
      <c r="B38" s="18" t="s">
        <v>15</v>
      </c>
      <c r="C38" s="15">
        <v>127419.32000000002</v>
      </c>
    </row>
    <row r="39" spans="2:3" x14ac:dyDescent="0.35">
      <c r="B39" s="10" t="s">
        <v>10</v>
      </c>
      <c r="C39" s="15">
        <v>327659.02</v>
      </c>
    </row>
    <row r="40" spans="2:3" x14ac:dyDescent="0.35">
      <c r="B40" s="18" t="s">
        <v>13</v>
      </c>
      <c r="C40" s="15">
        <v>107907.07999999999</v>
      </c>
    </row>
    <row r="41" spans="2:3" x14ac:dyDescent="0.35">
      <c r="B41" s="18" t="s">
        <v>18</v>
      </c>
      <c r="C41" s="15">
        <v>126569.36000000002</v>
      </c>
    </row>
    <row r="42" spans="2:3" x14ac:dyDescent="0.35">
      <c r="B42" s="18" t="s">
        <v>9</v>
      </c>
      <c r="C42" s="15">
        <v>93182.580000000031</v>
      </c>
    </row>
    <row r="43" spans="2:3" x14ac:dyDescent="0.35">
      <c r="B43" s="10" t="s">
        <v>325</v>
      </c>
      <c r="C43" s="15">
        <v>719728.78000000014</v>
      </c>
    </row>
    <row r="49" spans="2:5" x14ac:dyDescent="0.35">
      <c r="B49" s="9" t="s">
        <v>322</v>
      </c>
      <c r="C49" t="s">
        <v>328</v>
      </c>
      <c r="D49" t="s">
        <v>326</v>
      </c>
      <c r="E49" t="s">
        <v>329</v>
      </c>
    </row>
    <row r="50" spans="2:5" x14ac:dyDescent="0.35">
      <c r="B50" s="10" t="s">
        <v>350</v>
      </c>
      <c r="C50" s="15">
        <v>29838.76</v>
      </c>
      <c r="D50" s="15">
        <v>219961.11000000004</v>
      </c>
      <c r="E50" s="15">
        <v>190122.34999999998</v>
      </c>
    </row>
    <row r="51" spans="2:5" x14ac:dyDescent="0.35">
      <c r="B51" s="10" t="s">
        <v>351</v>
      </c>
      <c r="C51" s="15">
        <v>24379.829999999991</v>
      </c>
      <c r="D51" s="15">
        <v>173419.96000000005</v>
      </c>
      <c r="E51" s="15">
        <v>149040.13000000006</v>
      </c>
    </row>
    <row r="52" spans="2:5" x14ac:dyDescent="0.35">
      <c r="B52" s="10" t="s">
        <v>352</v>
      </c>
      <c r="C52" s="15">
        <v>34774.869999999995</v>
      </c>
      <c r="D52" s="15">
        <v>223581.24999999991</v>
      </c>
      <c r="E52" s="15">
        <v>188806.37999999995</v>
      </c>
    </row>
    <row r="53" spans="2:5" x14ac:dyDescent="0.35">
      <c r="B53" s="10" t="s">
        <v>353</v>
      </c>
      <c r="C53" s="15">
        <v>32526.439999999995</v>
      </c>
      <c r="D53" s="15">
        <v>224286.36</v>
      </c>
      <c r="E53" s="15">
        <v>191759.92000000007</v>
      </c>
    </row>
    <row r="54" spans="2:5" x14ac:dyDescent="0.35">
      <c r="B54" s="10" t="s">
        <v>325</v>
      </c>
      <c r="C54" s="15">
        <v>121519.9</v>
      </c>
      <c r="D54" s="15">
        <v>841248.67999999993</v>
      </c>
      <c r="E54" s="15">
        <v>719728.78</v>
      </c>
    </row>
    <row r="66" spans="3:7" x14ac:dyDescent="0.35">
      <c r="C66" s="10" t="s">
        <v>330</v>
      </c>
    </row>
    <row r="67" spans="3:7" x14ac:dyDescent="0.35">
      <c r="D67" t="s">
        <v>332</v>
      </c>
      <c r="E67" t="s">
        <v>333</v>
      </c>
      <c r="F67" t="s">
        <v>346</v>
      </c>
    </row>
    <row r="68" spans="3:7" x14ac:dyDescent="0.35">
      <c r="C68" t="s">
        <v>5</v>
      </c>
      <c r="D68" s="15">
        <f>sales</f>
        <v>475604.68999999954</v>
      </c>
      <c r="E68" s="15">
        <v>365643.99000000028</v>
      </c>
      <c r="F68" s="11">
        <f>(D68-E68)/E68</f>
        <v>0.30073159413887585</v>
      </c>
      <c r="G68" s="12" t="str">
        <f>IF(F68&gt;0,"⬆️","⬇️")</f>
        <v>⬆️</v>
      </c>
    </row>
    <row r="69" spans="3:7" x14ac:dyDescent="0.35">
      <c r="C69" t="s">
        <v>6</v>
      </c>
      <c r="D69" s="15">
        <f>Quantity</f>
        <v>899</v>
      </c>
      <c r="E69" s="15">
        <v>724</v>
      </c>
      <c r="F69" s="11">
        <f t="shared" ref="F69:F71" si="0">(D69-E69)/E69</f>
        <v>0.24171270718232044</v>
      </c>
      <c r="G69" s="12" t="str">
        <f t="shared" ref="G69:G71" si="1">IF(F69&gt;0,"⬆️","⬇️")</f>
        <v>⬆️</v>
      </c>
    </row>
    <row r="70" spans="3:7" x14ac:dyDescent="0.35">
      <c r="C70" t="s">
        <v>7</v>
      </c>
      <c r="D70" s="15">
        <f>cost</f>
        <v>63978.150000000031</v>
      </c>
      <c r="E70" s="15">
        <v>57541.749999999985</v>
      </c>
      <c r="F70" s="11">
        <f t="shared" si="0"/>
        <v>0.11185617399540415</v>
      </c>
      <c r="G70" s="12" t="str">
        <f t="shared" si="1"/>
        <v>⬆️</v>
      </c>
    </row>
    <row r="71" spans="3:7" x14ac:dyDescent="0.35">
      <c r="C71" t="s">
        <v>331</v>
      </c>
      <c r="D71" s="15">
        <f>profit</f>
        <v>411626.53999999951</v>
      </c>
      <c r="E71" s="15">
        <v>308102.24000000028</v>
      </c>
      <c r="F71" s="11">
        <f t="shared" si="0"/>
        <v>0.33600632049932233</v>
      </c>
      <c r="G71" s="12" t="str">
        <f t="shared" si="1"/>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CB58-BAF0-48BA-954A-26AE34687282}">
  <dimension ref="A1:L1048576"/>
  <sheetViews>
    <sheetView tabSelected="1" workbookViewId="0">
      <selection activeCell="O1" sqref="O1"/>
    </sheetView>
  </sheetViews>
  <sheetFormatPr defaultRowHeight="14.5" x14ac:dyDescent="0.35"/>
  <cols>
    <col min="1" max="1" width="12.08984375" bestFit="1" customWidth="1"/>
    <col min="2" max="2" width="10.453125" style="6" bestFit="1" customWidth="1"/>
    <col min="3" max="5" width="10.453125" style="6" customWidth="1"/>
    <col min="6" max="6" width="12.453125" style="4" bestFit="1" customWidth="1"/>
    <col min="7" max="7" width="13.453125" style="4" bestFit="1" customWidth="1"/>
    <col min="8" max="8" width="11" style="4" bestFit="1" customWidth="1"/>
    <col min="9" max="9" width="9.81640625" style="15" bestFit="1" customWidth="1"/>
    <col min="10" max="10" width="10.26953125" style="17" customWidth="1"/>
    <col min="11" max="11" width="8.7265625" style="15"/>
    <col min="12" max="12" width="16.1796875" bestFit="1" customWidth="1"/>
  </cols>
  <sheetData>
    <row r="1" spans="1:12" x14ac:dyDescent="0.35">
      <c r="A1" s="3" t="s">
        <v>0</v>
      </c>
      <c r="B1" s="5" t="s">
        <v>1</v>
      </c>
      <c r="C1" s="5" t="s">
        <v>354</v>
      </c>
      <c r="D1" s="5" t="s">
        <v>355</v>
      </c>
      <c r="E1" s="5" t="s">
        <v>349</v>
      </c>
      <c r="F1" s="3" t="s">
        <v>2</v>
      </c>
      <c r="G1" s="3" t="s">
        <v>3</v>
      </c>
      <c r="H1" s="3" t="s">
        <v>4</v>
      </c>
      <c r="I1" s="14" t="s">
        <v>5</v>
      </c>
      <c r="J1" s="16" t="s">
        <v>6</v>
      </c>
      <c r="K1" s="14" t="s">
        <v>7</v>
      </c>
      <c r="L1" s="1" t="s">
        <v>331</v>
      </c>
    </row>
    <row r="2" spans="1:12" x14ac:dyDescent="0.35">
      <c r="A2" t="s">
        <v>8</v>
      </c>
      <c r="B2" s="6">
        <v>44952</v>
      </c>
      <c r="C2" s="6" t="str">
        <f>TEXT(Table14[[#This Row],[Date]],"YYY")</f>
        <v>2023</v>
      </c>
      <c r="D2" s="6" t="str">
        <f>TEXT(Table14[[#This Row],[Date]],"MMMM")</f>
        <v>January</v>
      </c>
      <c r="E2" s="6" t="str">
        <f>"Q" &amp;ROUNDUP(MONTH(Table14[[#This Row],[Date]])/3,0)</f>
        <v>Q1</v>
      </c>
      <c r="F2" s="4" t="s">
        <v>9</v>
      </c>
      <c r="G2" s="4" t="s">
        <v>10</v>
      </c>
      <c r="H2" s="4" t="s">
        <v>11</v>
      </c>
      <c r="I2" s="15">
        <v>1219.5</v>
      </c>
      <c r="J2" s="17">
        <v>5</v>
      </c>
      <c r="K2" s="15">
        <v>211.02</v>
      </c>
      <c r="L2" s="15">
        <f>Table14[[#This Row],[Sales]]-Table14[[#This Row],[Cost]]</f>
        <v>1008.48</v>
      </c>
    </row>
    <row r="3" spans="1:12" x14ac:dyDescent="0.35">
      <c r="A3" t="s">
        <v>12</v>
      </c>
      <c r="B3" s="6">
        <v>45531</v>
      </c>
      <c r="C3" s="6" t="str">
        <f>TEXT(Table14[[#This Row],[Date]],"YYY")</f>
        <v>2024</v>
      </c>
      <c r="D3" s="6" t="str">
        <f>TEXT(Table14[[#This Row],[Date]],"MMMM")</f>
        <v>August</v>
      </c>
      <c r="E3" s="6" t="str">
        <f>"Q" &amp;ROUNDUP(MONTH(Table14[[#This Row],[Date]])/3,0)</f>
        <v>Q3</v>
      </c>
      <c r="F3" s="4" t="s">
        <v>13</v>
      </c>
      <c r="G3" s="4" t="s">
        <v>10</v>
      </c>
      <c r="H3" s="4" t="s">
        <v>11</v>
      </c>
      <c r="I3" s="15">
        <v>356.63</v>
      </c>
      <c r="J3" s="17">
        <v>7</v>
      </c>
      <c r="K3" s="15">
        <v>44.79</v>
      </c>
      <c r="L3" s="15">
        <f>Table14[[#This Row],[Sales]]-Table14[[#This Row],[Cost]]</f>
        <v>311.83999999999997</v>
      </c>
    </row>
    <row r="4" spans="1:12" x14ac:dyDescent="0.35">
      <c r="A4" t="s">
        <v>14</v>
      </c>
      <c r="B4" s="6">
        <v>45501</v>
      </c>
      <c r="C4" s="6" t="str">
        <f>TEXT(Table14[[#This Row],[Date]],"YYY")</f>
        <v>2024</v>
      </c>
      <c r="D4" s="6" t="str">
        <f>TEXT(Table14[[#This Row],[Date]],"MMMM")</f>
        <v>July</v>
      </c>
      <c r="E4" s="6" t="str">
        <f>"Q" &amp;ROUNDUP(MONTH(Table14[[#This Row],[Date]])/3,0)</f>
        <v>Q3</v>
      </c>
      <c r="F4" s="4" t="s">
        <v>15</v>
      </c>
      <c r="G4" s="4" t="s">
        <v>16</v>
      </c>
      <c r="H4" s="4" t="s">
        <v>11</v>
      </c>
      <c r="I4" s="15">
        <v>3194.55</v>
      </c>
      <c r="J4" s="17">
        <v>4</v>
      </c>
      <c r="K4" s="15">
        <v>578.5</v>
      </c>
      <c r="L4" s="15">
        <f>Table14[[#This Row],[Sales]]-Table14[[#This Row],[Cost]]</f>
        <v>2616.0500000000002</v>
      </c>
    </row>
    <row r="5" spans="1:12" x14ac:dyDescent="0.35">
      <c r="A5" t="s">
        <v>17</v>
      </c>
      <c r="B5" s="6">
        <v>45386</v>
      </c>
      <c r="C5" s="6" t="str">
        <f>TEXT(Table14[[#This Row],[Date]],"YYY")</f>
        <v>2024</v>
      </c>
      <c r="D5" s="6" t="str">
        <f>TEXT(Table14[[#This Row],[Date]],"MMMM")</f>
        <v>April</v>
      </c>
      <c r="E5" s="6" t="str">
        <f>"Q" &amp;ROUNDUP(MONTH(Table14[[#This Row],[Date]])/3,0)</f>
        <v>Q2</v>
      </c>
      <c r="F5" s="4" t="s">
        <v>18</v>
      </c>
      <c r="G5" s="4" t="s">
        <v>10</v>
      </c>
      <c r="H5" s="4" t="s">
        <v>19</v>
      </c>
      <c r="I5" s="15">
        <v>3430.95</v>
      </c>
      <c r="J5" s="17">
        <v>10</v>
      </c>
      <c r="K5" s="15">
        <v>236.99</v>
      </c>
      <c r="L5" s="15">
        <f>Table14[[#This Row],[Sales]]-Table14[[#This Row],[Cost]]</f>
        <v>3193.96</v>
      </c>
    </row>
    <row r="6" spans="1:12" x14ac:dyDescent="0.35">
      <c r="A6" t="s">
        <v>20</v>
      </c>
      <c r="B6" s="6">
        <v>45275</v>
      </c>
      <c r="C6" s="6" t="str">
        <f>TEXT(Table14[[#This Row],[Date]],"YYY")</f>
        <v>2023</v>
      </c>
      <c r="D6" s="6" t="str">
        <f>TEXT(Table14[[#This Row],[Date]],"MMMM")</f>
        <v>December</v>
      </c>
      <c r="E6" s="6" t="str">
        <f>"Q" &amp;ROUNDUP(MONTH(Table14[[#This Row],[Date]])/3,0)</f>
        <v>Q4</v>
      </c>
      <c r="F6" s="4" t="s">
        <v>15</v>
      </c>
      <c r="G6" s="4" t="s">
        <v>16</v>
      </c>
      <c r="H6" s="4" t="s">
        <v>21</v>
      </c>
      <c r="I6" s="15">
        <v>1047.44</v>
      </c>
      <c r="J6" s="17">
        <v>5</v>
      </c>
      <c r="K6" s="15">
        <v>141.27000000000001</v>
      </c>
      <c r="L6" s="15">
        <f>Table14[[#This Row],[Sales]]-Table14[[#This Row],[Cost]]</f>
        <v>906.17000000000007</v>
      </c>
    </row>
    <row r="7" spans="1:12" x14ac:dyDescent="0.35">
      <c r="A7" t="s">
        <v>22</v>
      </c>
      <c r="B7" s="6">
        <v>45021</v>
      </c>
      <c r="C7" s="6" t="str">
        <f>TEXT(Table14[[#This Row],[Date]],"YYY")</f>
        <v>2023</v>
      </c>
      <c r="D7" s="6" t="str">
        <f>TEXT(Table14[[#This Row],[Date]],"MMMM")</f>
        <v>April</v>
      </c>
      <c r="E7" s="6" t="str">
        <f>"Q" &amp;ROUNDUP(MONTH(Table14[[#This Row],[Date]])/3,0)</f>
        <v>Q2</v>
      </c>
      <c r="F7" s="4" t="s">
        <v>23</v>
      </c>
      <c r="G7" s="4" t="s">
        <v>16</v>
      </c>
      <c r="H7" s="4" t="s">
        <v>11</v>
      </c>
      <c r="I7" s="15">
        <v>961.37</v>
      </c>
      <c r="J7" s="17">
        <v>7</v>
      </c>
      <c r="K7" s="15">
        <v>95.44</v>
      </c>
      <c r="L7" s="15">
        <f>Table14[[#This Row],[Sales]]-Table14[[#This Row],[Cost]]</f>
        <v>865.93000000000006</v>
      </c>
    </row>
    <row r="8" spans="1:12" x14ac:dyDescent="0.35">
      <c r="A8" t="s">
        <v>24</v>
      </c>
      <c r="B8" s="6">
        <v>44971</v>
      </c>
      <c r="C8" s="6" t="str">
        <f>TEXT(Table14[[#This Row],[Date]],"YYY")</f>
        <v>2023</v>
      </c>
      <c r="D8" s="6" t="str">
        <f>TEXT(Table14[[#This Row],[Date]],"MMMM")</f>
        <v>February</v>
      </c>
      <c r="E8" s="6" t="str">
        <f>"Q" &amp;ROUNDUP(MONTH(Table14[[#This Row],[Date]])/3,0)</f>
        <v>Q1</v>
      </c>
      <c r="F8" s="4" t="s">
        <v>25</v>
      </c>
      <c r="G8" s="4" t="s">
        <v>16</v>
      </c>
      <c r="H8" s="4" t="s">
        <v>26</v>
      </c>
      <c r="I8" s="15">
        <v>5221.42</v>
      </c>
      <c r="J8" s="17">
        <v>8</v>
      </c>
      <c r="K8" s="15">
        <v>438.26</v>
      </c>
      <c r="L8" s="15">
        <f>Table14[[#This Row],[Sales]]-Table14[[#This Row],[Cost]]</f>
        <v>4783.16</v>
      </c>
    </row>
    <row r="9" spans="1:12" x14ac:dyDescent="0.35">
      <c r="A9" t="s">
        <v>27</v>
      </c>
      <c r="B9" s="6">
        <v>45492</v>
      </c>
      <c r="C9" s="6" t="str">
        <f>TEXT(Table14[[#This Row],[Date]],"YYY")</f>
        <v>2024</v>
      </c>
      <c r="D9" s="6" t="str">
        <f>TEXT(Table14[[#This Row],[Date]],"MMMM")</f>
        <v>July</v>
      </c>
      <c r="E9" s="6" t="str">
        <f>"Q" &amp;ROUNDUP(MONTH(Table14[[#This Row],[Date]])/3,0)</f>
        <v>Q3</v>
      </c>
      <c r="F9" s="4" t="s">
        <v>18</v>
      </c>
      <c r="G9" s="4" t="s">
        <v>10</v>
      </c>
      <c r="H9" s="4" t="s">
        <v>11</v>
      </c>
      <c r="I9" s="15">
        <v>4493.2</v>
      </c>
      <c r="J9" s="17">
        <v>5</v>
      </c>
      <c r="K9" s="15">
        <v>666.94</v>
      </c>
      <c r="L9" s="15">
        <f>Table14[[#This Row],[Sales]]-Table14[[#This Row],[Cost]]</f>
        <v>3826.2599999999998</v>
      </c>
    </row>
    <row r="10" spans="1:12" x14ac:dyDescent="0.35">
      <c r="A10" t="s">
        <v>28</v>
      </c>
      <c r="B10" s="6">
        <v>45648</v>
      </c>
      <c r="C10" s="6" t="str">
        <f>TEXT(Table14[[#This Row],[Date]],"YYY")</f>
        <v>2024</v>
      </c>
      <c r="D10" s="6" t="str">
        <f>TEXT(Table14[[#This Row],[Date]],"MMMM")</f>
        <v>December</v>
      </c>
      <c r="E10" s="6" t="str">
        <f>"Q" &amp;ROUNDUP(MONTH(Table14[[#This Row],[Date]])/3,0)</f>
        <v>Q4</v>
      </c>
      <c r="F10" s="4" t="s">
        <v>23</v>
      </c>
      <c r="G10" s="4" t="s">
        <v>16</v>
      </c>
      <c r="H10" s="4" t="s">
        <v>19</v>
      </c>
      <c r="I10" s="15">
        <v>132.79</v>
      </c>
      <c r="J10" s="17">
        <v>2</v>
      </c>
      <c r="K10" s="15">
        <v>55.74</v>
      </c>
      <c r="L10" s="15">
        <f>Table14[[#This Row],[Sales]]-Table14[[#This Row],[Cost]]</f>
        <v>77.049999999999983</v>
      </c>
    </row>
    <row r="11" spans="1:12" x14ac:dyDescent="0.35">
      <c r="A11" t="s">
        <v>29</v>
      </c>
      <c r="B11" s="6">
        <v>45165</v>
      </c>
      <c r="C11" s="6" t="str">
        <f>TEXT(Table14[[#This Row],[Date]],"YYY")</f>
        <v>2023</v>
      </c>
      <c r="D11" s="6" t="str">
        <f>TEXT(Table14[[#This Row],[Date]],"MMMM")</f>
        <v>August</v>
      </c>
      <c r="E11" s="6" t="str">
        <f>"Q" &amp;ROUNDUP(MONTH(Table14[[#This Row],[Date]])/3,0)</f>
        <v>Q3</v>
      </c>
      <c r="F11" s="4" t="s">
        <v>23</v>
      </c>
      <c r="G11" s="4" t="s">
        <v>16</v>
      </c>
      <c r="H11" s="4" t="s">
        <v>11</v>
      </c>
      <c r="I11" s="15">
        <v>811.1</v>
      </c>
      <c r="J11" s="17">
        <v>2</v>
      </c>
      <c r="K11" s="15">
        <v>316.5</v>
      </c>
      <c r="L11" s="15">
        <f>Table14[[#This Row],[Sales]]-Table14[[#This Row],[Cost]]</f>
        <v>494.6</v>
      </c>
    </row>
    <row r="12" spans="1:12" x14ac:dyDescent="0.35">
      <c r="A12" t="s">
        <v>30</v>
      </c>
      <c r="B12" s="6">
        <v>45306</v>
      </c>
      <c r="C12" s="6" t="str">
        <f>TEXT(Table14[[#This Row],[Date]],"YYY")</f>
        <v>2024</v>
      </c>
      <c r="D12" s="6" t="str">
        <f>TEXT(Table14[[#This Row],[Date]],"MMMM")</f>
        <v>January</v>
      </c>
      <c r="E12" s="6" t="str">
        <f>"Q" &amp;ROUNDUP(MONTH(Table14[[#This Row],[Date]])/3,0)</f>
        <v>Q1</v>
      </c>
      <c r="F12" s="4" t="s">
        <v>23</v>
      </c>
      <c r="G12" s="4" t="s">
        <v>16</v>
      </c>
      <c r="H12" s="4" t="s">
        <v>19</v>
      </c>
      <c r="I12" s="15">
        <v>1328.1</v>
      </c>
      <c r="J12" s="17">
        <v>6</v>
      </c>
      <c r="K12" s="15">
        <v>183.42</v>
      </c>
      <c r="L12" s="15">
        <f>Table14[[#This Row],[Sales]]-Table14[[#This Row],[Cost]]</f>
        <v>1144.6799999999998</v>
      </c>
    </row>
    <row r="13" spans="1:12" x14ac:dyDescent="0.35">
      <c r="A13" t="s">
        <v>31</v>
      </c>
      <c r="B13" s="6">
        <v>45550</v>
      </c>
      <c r="C13" s="6" t="str">
        <f>TEXT(Table14[[#This Row],[Date]],"YYY")</f>
        <v>2024</v>
      </c>
      <c r="D13" s="6" t="str">
        <f>TEXT(Table14[[#This Row],[Date]],"MMMM")</f>
        <v>September</v>
      </c>
      <c r="E13" s="6" t="str">
        <f>"Q" &amp;ROUNDUP(MONTH(Table14[[#This Row],[Date]])/3,0)</f>
        <v>Q3</v>
      </c>
      <c r="F13" s="4" t="s">
        <v>9</v>
      </c>
      <c r="G13" s="4" t="s">
        <v>10</v>
      </c>
      <c r="H13" s="4" t="s">
        <v>11</v>
      </c>
      <c r="I13" s="15">
        <v>1569.15</v>
      </c>
      <c r="J13" s="17">
        <v>3</v>
      </c>
      <c r="K13" s="15">
        <v>436.63</v>
      </c>
      <c r="L13" s="15">
        <f>Table14[[#This Row],[Sales]]-Table14[[#This Row],[Cost]]</f>
        <v>1132.52</v>
      </c>
    </row>
    <row r="14" spans="1:12" x14ac:dyDescent="0.35">
      <c r="A14" t="s">
        <v>32</v>
      </c>
      <c r="B14" s="6">
        <v>45203</v>
      </c>
      <c r="C14" s="6" t="str">
        <f>TEXT(Table14[[#This Row],[Date]],"YYY")</f>
        <v>2023</v>
      </c>
      <c r="D14" s="6" t="str">
        <f>TEXT(Table14[[#This Row],[Date]],"MMMM")</f>
        <v>October</v>
      </c>
      <c r="E14" s="6" t="str">
        <f>"Q" &amp;ROUNDUP(MONTH(Table14[[#This Row],[Date]])/3,0)</f>
        <v>Q4</v>
      </c>
      <c r="F14" s="4" t="s">
        <v>18</v>
      </c>
      <c r="G14" s="4" t="s">
        <v>10</v>
      </c>
      <c r="H14" s="4" t="s">
        <v>21</v>
      </c>
      <c r="I14" s="15">
        <v>2117.1999999999998</v>
      </c>
      <c r="J14" s="17">
        <v>9</v>
      </c>
      <c r="K14" s="15">
        <v>191.3</v>
      </c>
      <c r="L14" s="15">
        <f>Table14[[#This Row],[Sales]]-Table14[[#This Row],[Cost]]</f>
        <v>1925.8999999999999</v>
      </c>
    </row>
    <row r="15" spans="1:12" x14ac:dyDescent="0.35">
      <c r="A15" t="s">
        <v>33</v>
      </c>
      <c r="B15" s="6">
        <v>44959</v>
      </c>
      <c r="C15" s="6" t="str">
        <f>TEXT(Table14[[#This Row],[Date]],"YYY")</f>
        <v>2023</v>
      </c>
      <c r="D15" s="6" t="str">
        <f>TEXT(Table14[[#This Row],[Date]],"MMMM")</f>
        <v>February</v>
      </c>
      <c r="E15" s="6" t="str">
        <f>"Q" &amp;ROUNDUP(MONTH(Table14[[#This Row],[Date]])/3,0)</f>
        <v>Q1</v>
      </c>
      <c r="F15" s="4" t="s">
        <v>13</v>
      </c>
      <c r="G15" s="4" t="s">
        <v>10</v>
      </c>
      <c r="H15" s="4" t="s">
        <v>19</v>
      </c>
      <c r="I15" s="15">
        <v>2250.09</v>
      </c>
      <c r="J15" s="17">
        <v>6</v>
      </c>
      <c r="K15" s="15">
        <v>332.91</v>
      </c>
      <c r="L15" s="15">
        <f>Table14[[#This Row],[Sales]]-Table14[[#This Row],[Cost]]</f>
        <v>1917.18</v>
      </c>
    </row>
    <row r="16" spans="1:12" x14ac:dyDescent="0.35">
      <c r="A16" t="s">
        <v>34</v>
      </c>
      <c r="B16" s="6">
        <v>45144</v>
      </c>
      <c r="C16" s="6" t="str">
        <f>TEXT(Table14[[#This Row],[Date]],"YYY")</f>
        <v>2023</v>
      </c>
      <c r="D16" s="6" t="str">
        <f>TEXT(Table14[[#This Row],[Date]],"MMMM")</f>
        <v>August</v>
      </c>
      <c r="E16" s="6" t="str">
        <f>"Q" &amp;ROUNDUP(MONTH(Table14[[#This Row],[Date]])/3,0)</f>
        <v>Q3</v>
      </c>
      <c r="F16" s="4" t="s">
        <v>25</v>
      </c>
      <c r="G16" s="4" t="s">
        <v>16</v>
      </c>
      <c r="H16" s="4" t="s">
        <v>26</v>
      </c>
      <c r="I16" s="15">
        <v>3853.23</v>
      </c>
      <c r="J16" s="17">
        <v>8</v>
      </c>
      <c r="K16" s="15">
        <v>328.59</v>
      </c>
      <c r="L16" s="15">
        <f>Table14[[#This Row],[Sales]]-Table14[[#This Row],[Cost]]</f>
        <v>3524.64</v>
      </c>
    </row>
    <row r="17" spans="1:12" x14ac:dyDescent="0.35">
      <c r="A17" t="s">
        <v>35</v>
      </c>
      <c r="B17" s="6">
        <v>45198</v>
      </c>
      <c r="C17" s="6" t="str">
        <f>TEXT(Table14[[#This Row],[Date]],"YYY")</f>
        <v>2023</v>
      </c>
      <c r="D17" s="6" t="str">
        <f>TEXT(Table14[[#This Row],[Date]],"MMMM")</f>
        <v>September</v>
      </c>
      <c r="E17" s="6" t="str">
        <f>"Q" &amp;ROUNDUP(MONTH(Table14[[#This Row],[Date]])/3,0)</f>
        <v>Q3</v>
      </c>
      <c r="F17" s="4" t="s">
        <v>18</v>
      </c>
      <c r="G17" s="4" t="s">
        <v>10</v>
      </c>
      <c r="H17" s="4" t="s">
        <v>19</v>
      </c>
      <c r="I17" s="15">
        <v>843.88</v>
      </c>
      <c r="J17" s="17">
        <v>3</v>
      </c>
      <c r="K17" s="15">
        <v>212.37</v>
      </c>
      <c r="L17" s="15">
        <f>Table14[[#This Row],[Sales]]-Table14[[#This Row],[Cost]]</f>
        <v>631.51</v>
      </c>
    </row>
    <row r="18" spans="1:12" x14ac:dyDescent="0.35">
      <c r="A18" t="s">
        <v>36</v>
      </c>
      <c r="B18" s="6">
        <v>45524</v>
      </c>
      <c r="C18" s="6" t="str">
        <f>TEXT(Table14[[#This Row],[Date]],"YYY")</f>
        <v>2024</v>
      </c>
      <c r="D18" s="6" t="str">
        <f>TEXT(Table14[[#This Row],[Date]],"MMMM")</f>
        <v>August</v>
      </c>
      <c r="E18" s="6" t="str">
        <f>"Q" &amp;ROUNDUP(MONTH(Table14[[#This Row],[Date]])/3,0)</f>
        <v>Q3</v>
      </c>
      <c r="F18" s="4" t="s">
        <v>23</v>
      </c>
      <c r="G18" s="4" t="s">
        <v>16</v>
      </c>
      <c r="H18" s="4" t="s">
        <v>21</v>
      </c>
      <c r="I18" s="15">
        <v>3172.52</v>
      </c>
      <c r="J18" s="17">
        <v>7</v>
      </c>
      <c r="K18" s="15">
        <v>302.36</v>
      </c>
      <c r="L18" s="15">
        <f>Table14[[#This Row],[Sales]]-Table14[[#This Row],[Cost]]</f>
        <v>2870.16</v>
      </c>
    </row>
    <row r="19" spans="1:12" x14ac:dyDescent="0.35">
      <c r="A19" t="s">
        <v>37</v>
      </c>
      <c r="B19" s="6">
        <v>45020</v>
      </c>
      <c r="C19" s="6" t="str">
        <f>TEXT(Table14[[#This Row],[Date]],"YYY")</f>
        <v>2023</v>
      </c>
      <c r="D19" s="6" t="str">
        <f>TEXT(Table14[[#This Row],[Date]],"MMMM")</f>
        <v>April</v>
      </c>
      <c r="E19" s="6" t="str">
        <f>"Q" &amp;ROUNDUP(MONTH(Table14[[#This Row],[Date]])/3,0)</f>
        <v>Q2</v>
      </c>
      <c r="F19" s="4" t="s">
        <v>15</v>
      </c>
      <c r="G19" s="4" t="s">
        <v>16</v>
      </c>
      <c r="H19" s="4" t="s">
        <v>21</v>
      </c>
      <c r="I19" s="15">
        <v>803.11</v>
      </c>
      <c r="J19" s="17">
        <v>1</v>
      </c>
      <c r="K19" s="15">
        <v>691.66</v>
      </c>
      <c r="L19" s="15">
        <f>Table14[[#This Row],[Sales]]-Table14[[#This Row],[Cost]]</f>
        <v>111.45000000000005</v>
      </c>
    </row>
    <row r="20" spans="1:12" x14ac:dyDescent="0.35">
      <c r="A20" t="s">
        <v>38</v>
      </c>
      <c r="B20" s="6">
        <v>45537</v>
      </c>
      <c r="C20" s="6" t="str">
        <f>TEXT(Table14[[#This Row],[Date]],"YYY")</f>
        <v>2024</v>
      </c>
      <c r="D20" s="6" t="str">
        <f>TEXT(Table14[[#This Row],[Date]],"MMMM")</f>
        <v>September</v>
      </c>
      <c r="E20" s="6" t="str">
        <f>"Q" &amp;ROUNDUP(MONTH(Table14[[#This Row],[Date]])/3,0)</f>
        <v>Q3</v>
      </c>
      <c r="F20" s="4" t="s">
        <v>15</v>
      </c>
      <c r="G20" s="4" t="s">
        <v>16</v>
      </c>
      <c r="H20" s="4" t="s">
        <v>21</v>
      </c>
      <c r="I20" s="15">
        <v>856.87</v>
      </c>
      <c r="J20" s="17">
        <v>2</v>
      </c>
      <c r="K20" s="15">
        <v>320.12</v>
      </c>
      <c r="L20" s="15">
        <f>Table14[[#This Row],[Sales]]-Table14[[#This Row],[Cost]]</f>
        <v>536.75</v>
      </c>
    </row>
    <row r="21" spans="1:12" x14ac:dyDescent="0.35">
      <c r="A21" t="s">
        <v>39</v>
      </c>
      <c r="B21" s="6">
        <v>45493</v>
      </c>
      <c r="C21" s="6" t="str">
        <f>TEXT(Table14[[#This Row],[Date]],"YYY")</f>
        <v>2024</v>
      </c>
      <c r="D21" s="6" t="str">
        <f>TEXT(Table14[[#This Row],[Date]],"MMMM")</f>
        <v>July</v>
      </c>
      <c r="E21" s="6" t="str">
        <f>"Q" &amp;ROUNDUP(MONTH(Table14[[#This Row],[Date]])/3,0)</f>
        <v>Q3</v>
      </c>
      <c r="F21" s="4" t="s">
        <v>18</v>
      </c>
      <c r="G21" s="4" t="s">
        <v>10</v>
      </c>
      <c r="H21" s="4" t="s">
        <v>26</v>
      </c>
      <c r="I21" s="15">
        <v>630.91</v>
      </c>
      <c r="J21" s="17">
        <v>1</v>
      </c>
      <c r="K21" s="15">
        <v>550.62</v>
      </c>
      <c r="L21" s="15">
        <f>Table14[[#This Row],[Sales]]-Table14[[#This Row],[Cost]]</f>
        <v>80.289999999999964</v>
      </c>
    </row>
    <row r="22" spans="1:12" x14ac:dyDescent="0.35">
      <c r="A22" t="s">
        <v>40</v>
      </c>
      <c r="B22" s="6">
        <v>45583</v>
      </c>
      <c r="C22" s="6" t="str">
        <f>TEXT(Table14[[#This Row],[Date]],"YYY")</f>
        <v>2024</v>
      </c>
      <c r="D22" s="6" t="str">
        <f>TEXT(Table14[[#This Row],[Date]],"MMMM")</f>
        <v>October</v>
      </c>
      <c r="E22" s="6" t="str">
        <f>"Q" &amp;ROUNDUP(MONTH(Table14[[#This Row],[Date]])/3,0)</f>
        <v>Q4</v>
      </c>
      <c r="F22" s="4" t="s">
        <v>25</v>
      </c>
      <c r="G22" s="4" t="s">
        <v>16</v>
      </c>
      <c r="H22" s="4" t="s">
        <v>26</v>
      </c>
      <c r="I22" s="15">
        <v>817.92</v>
      </c>
      <c r="J22" s="17">
        <v>6</v>
      </c>
      <c r="K22" s="15">
        <v>107.01</v>
      </c>
      <c r="L22" s="15">
        <f>Table14[[#This Row],[Sales]]-Table14[[#This Row],[Cost]]</f>
        <v>710.91</v>
      </c>
    </row>
    <row r="23" spans="1:12" x14ac:dyDescent="0.35">
      <c r="A23" t="s">
        <v>41</v>
      </c>
      <c r="B23" s="6">
        <v>45196</v>
      </c>
      <c r="C23" s="6" t="str">
        <f>TEXT(Table14[[#This Row],[Date]],"YYY")</f>
        <v>2023</v>
      </c>
      <c r="D23" s="6" t="str">
        <f>TEXT(Table14[[#This Row],[Date]],"MMMM")</f>
        <v>September</v>
      </c>
      <c r="E23" s="6" t="str">
        <f>"Q" &amp;ROUNDUP(MONTH(Table14[[#This Row],[Date]])/3,0)</f>
        <v>Q3</v>
      </c>
      <c r="F23" s="4" t="s">
        <v>18</v>
      </c>
      <c r="G23" s="4" t="s">
        <v>10</v>
      </c>
      <c r="H23" s="4" t="s">
        <v>11</v>
      </c>
      <c r="I23" s="15">
        <v>7204.65</v>
      </c>
      <c r="J23" s="17">
        <v>9</v>
      </c>
      <c r="K23" s="15">
        <v>614.33000000000004</v>
      </c>
      <c r="L23" s="15">
        <f>Table14[[#This Row],[Sales]]-Table14[[#This Row],[Cost]]</f>
        <v>6590.32</v>
      </c>
    </row>
    <row r="24" spans="1:12" x14ac:dyDescent="0.35">
      <c r="A24" t="s">
        <v>42</v>
      </c>
      <c r="B24" s="6">
        <v>45581</v>
      </c>
      <c r="C24" s="6" t="str">
        <f>TEXT(Table14[[#This Row],[Date]],"YYY")</f>
        <v>2024</v>
      </c>
      <c r="D24" s="6" t="str">
        <f>TEXT(Table14[[#This Row],[Date]],"MMMM")</f>
        <v>October</v>
      </c>
      <c r="E24" s="6" t="str">
        <f>"Q" &amp;ROUNDUP(MONTH(Table14[[#This Row],[Date]])/3,0)</f>
        <v>Q4</v>
      </c>
      <c r="F24" s="4" t="s">
        <v>13</v>
      </c>
      <c r="G24" s="4" t="s">
        <v>10</v>
      </c>
      <c r="H24" s="4" t="s">
        <v>26</v>
      </c>
      <c r="I24" s="15">
        <v>5172.8599999999997</v>
      </c>
      <c r="J24" s="17">
        <v>9</v>
      </c>
      <c r="K24" s="15">
        <v>495</v>
      </c>
      <c r="L24" s="15">
        <f>Table14[[#This Row],[Sales]]-Table14[[#This Row],[Cost]]</f>
        <v>4677.8599999999997</v>
      </c>
    </row>
    <row r="25" spans="1:12" x14ac:dyDescent="0.35">
      <c r="A25" t="s">
        <v>43</v>
      </c>
      <c r="B25" s="6">
        <v>45540</v>
      </c>
      <c r="C25" s="6" t="str">
        <f>TEXT(Table14[[#This Row],[Date]],"YYY")</f>
        <v>2024</v>
      </c>
      <c r="D25" s="6" t="str">
        <f>TEXT(Table14[[#This Row],[Date]],"MMMM")</f>
        <v>September</v>
      </c>
      <c r="E25" s="6" t="str">
        <f>"Q" &amp;ROUNDUP(MONTH(Table14[[#This Row],[Date]])/3,0)</f>
        <v>Q3</v>
      </c>
      <c r="F25" s="4" t="s">
        <v>15</v>
      </c>
      <c r="G25" s="4" t="s">
        <v>16</v>
      </c>
      <c r="H25" s="4" t="s">
        <v>11</v>
      </c>
      <c r="I25" s="15">
        <v>2755.02</v>
      </c>
      <c r="J25" s="17">
        <v>6</v>
      </c>
      <c r="K25" s="15">
        <v>401.11</v>
      </c>
      <c r="L25" s="15">
        <f>Table14[[#This Row],[Sales]]-Table14[[#This Row],[Cost]]</f>
        <v>2353.91</v>
      </c>
    </row>
    <row r="26" spans="1:12" x14ac:dyDescent="0.35">
      <c r="A26" t="s">
        <v>44</v>
      </c>
      <c r="B26" s="6">
        <v>45172</v>
      </c>
      <c r="C26" s="6" t="str">
        <f>TEXT(Table14[[#This Row],[Date]],"YYY")</f>
        <v>2023</v>
      </c>
      <c r="D26" s="6" t="str">
        <f>TEXT(Table14[[#This Row],[Date]],"MMMM")</f>
        <v>September</v>
      </c>
      <c r="E26" s="6" t="str">
        <f>"Q" &amp;ROUNDUP(MONTH(Table14[[#This Row],[Date]])/3,0)</f>
        <v>Q3</v>
      </c>
      <c r="F26" s="4" t="s">
        <v>23</v>
      </c>
      <c r="G26" s="4" t="s">
        <v>16</v>
      </c>
      <c r="H26" s="4" t="s">
        <v>26</v>
      </c>
      <c r="I26" s="15">
        <v>275.83999999999997</v>
      </c>
      <c r="J26" s="17">
        <v>1</v>
      </c>
      <c r="K26" s="15">
        <v>207.88</v>
      </c>
      <c r="L26" s="15">
        <f>Table14[[#This Row],[Sales]]-Table14[[#This Row],[Cost]]</f>
        <v>67.95999999999998</v>
      </c>
    </row>
    <row r="27" spans="1:12" x14ac:dyDescent="0.35">
      <c r="A27" t="s">
        <v>45</v>
      </c>
      <c r="B27" s="6">
        <v>45424</v>
      </c>
      <c r="C27" s="6" t="str">
        <f>TEXT(Table14[[#This Row],[Date]],"YYY")</f>
        <v>2024</v>
      </c>
      <c r="D27" s="6" t="str">
        <f>TEXT(Table14[[#This Row],[Date]],"MMMM")</f>
        <v>May</v>
      </c>
      <c r="E27" s="6" t="str">
        <f>"Q" &amp;ROUNDUP(MONTH(Table14[[#This Row],[Date]])/3,0)</f>
        <v>Q2</v>
      </c>
      <c r="F27" s="4" t="s">
        <v>13</v>
      </c>
      <c r="G27" s="4" t="s">
        <v>10</v>
      </c>
      <c r="H27" s="4" t="s">
        <v>11</v>
      </c>
      <c r="I27" s="15">
        <v>2055.84</v>
      </c>
      <c r="J27" s="17">
        <v>2</v>
      </c>
      <c r="K27" s="15">
        <v>782.83</v>
      </c>
      <c r="L27" s="15">
        <f>Table14[[#This Row],[Sales]]-Table14[[#This Row],[Cost]]</f>
        <v>1273.0100000000002</v>
      </c>
    </row>
    <row r="28" spans="1:12" x14ac:dyDescent="0.35">
      <c r="A28" t="s">
        <v>46</v>
      </c>
      <c r="B28" s="6">
        <v>45602</v>
      </c>
      <c r="C28" s="6" t="str">
        <f>TEXT(Table14[[#This Row],[Date]],"YYY")</f>
        <v>2024</v>
      </c>
      <c r="D28" s="6" t="str">
        <f>TEXT(Table14[[#This Row],[Date]],"MMMM")</f>
        <v>November</v>
      </c>
      <c r="E28" s="6" t="str">
        <f>"Q" &amp;ROUNDUP(MONTH(Table14[[#This Row],[Date]])/3,0)</f>
        <v>Q4</v>
      </c>
      <c r="F28" s="4" t="s">
        <v>15</v>
      </c>
      <c r="G28" s="4" t="s">
        <v>16</v>
      </c>
      <c r="H28" s="4" t="s">
        <v>19</v>
      </c>
      <c r="I28" s="15">
        <v>7075.97</v>
      </c>
      <c r="J28" s="17">
        <v>8</v>
      </c>
      <c r="K28" s="15">
        <v>758.54</v>
      </c>
      <c r="L28" s="15">
        <f>Table14[[#This Row],[Sales]]-Table14[[#This Row],[Cost]]</f>
        <v>6317.43</v>
      </c>
    </row>
    <row r="29" spans="1:12" x14ac:dyDescent="0.35">
      <c r="A29" t="s">
        <v>47</v>
      </c>
      <c r="B29" s="6">
        <v>45143</v>
      </c>
      <c r="C29" s="6" t="str">
        <f>TEXT(Table14[[#This Row],[Date]],"YYY")</f>
        <v>2023</v>
      </c>
      <c r="D29" s="6" t="str">
        <f>TEXT(Table14[[#This Row],[Date]],"MMMM")</f>
        <v>August</v>
      </c>
      <c r="E29" s="6" t="str">
        <f>"Q" &amp;ROUNDUP(MONTH(Table14[[#This Row],[Date]])/3,0)</f>
        <v>Q3</v>
      </c>
      <c r="F29" s="4" t="s">
        <v>25</v>
      </c>
      <c r="G29" s="4" t="s">
        <v>16</v>
      </c>
      <c r="H29" s="4" t="s">
        <v>21</v>
      </c>
      <c r="I29" s="15">
        <v>7542.93</v>
      </c>
      <c r="J29" s="17">
        <v>9</v>
      </c>
      <c r="K29" s="15">
        <v>609.11</v>
      </c>
      <c r="L29" s="15">
        <f>Table14[[#This Row],[Sales]]-Table14[[#This Row],[Cost]]</f>
        <v>6933.8200000000006</v>
      </c>
    </row>
    <row r="30" spans="1:12" x14ac:dyDescent="0.35">
      <c r="A30" t="s">
        <v>48</v>
      </c>
      <c r="B30" s="6">
        <v>45335</v>
      </c>
      <c r="C30" s="6" t="str">
        <f>TEXT(Table14[[#This Row],[Date]],"YYY")</f>
        <v>2024</v>
      </c>
      <c r="D30" s="6" t="str">
        <f>TEXT(Table14[[#This Row],[Date]],"MMMM")</f>
        <v>February</v>
      </c>
      <c r="E30" s="6" t="str">
        <f>"Q" &amp;ROUNDUP(MONTH(Table14[[#This Row],[Date]])/3,0)</f>
        <v>Q1</v>
      </c>
      <c r="F30" s="4" t="s">
        <v>9</v>
      </c>
      <c r="G30" s="4" t="s">
        <v>10</v>
      </c>
      <c r="H30" s="4" t="s">
        <v>26</v>
      </c>
      <c r="I30" s="15">
        <v>2836.67</v>
      </c>
      <c r="J30" s="17">
        <v>6</v>
      </c>
      <c r="K30" s="15">
        <v>361.72</v>
      </c>
      <c r="L30" s="15">
        <f>Table14[[#This Row],[Sales]]-Table14[[#This Row],[Cost]]</f>
        <v>2474.9499999999998</v>
      </c>
    </row>
    <row r="31" spans="1:12" x14ac:dyDescent="0.35">
      <c r="A31" t="s">
        <v>49</v>
      </c>
      <c r="B31" s="6">
        <v>45157</v>
      </c>
      <c r="C31" s="6" t="str">
        <f>TEXT(Table14[[#This Row],[Date]],"YYY")</f>
        <v>2023</v>
      </c>
      <c r="D31" s="6" t="str">
        <f>TEXT(Table14[[#This Row],[Date]],"MMMM")</f>
        <v>August</v>
      </c>
      <c r="E31" s="6" t="str">
        <f>"Q" &amp;ROUNDUP(MONTH(Table14[[#This Row],[Date]])/3,0)</f>
        <v>Q3</v>
      </c>
      <c r="F31" s="4" t="s">
        <v>13</v>
      </c>
      <c r="G31" s="4" t="s">
        <v>10</v>
      </c>
      <c r="H31" s="4" t="s">
        <v>19</v>
      </c>
      <c r="I31" s="15">
        <v>757.69</v>
      </c>
      <c r="J31" s="17">
        <v>2</v>
      </c>
      <c r="K31" s="15">
        <v>283.70999999999998</v>
      </c>
      <c r="L31" s="15">
        <f>Table14[[#This Row],[Sales]]-Table14[[#This Row],[Cost]]</f>
        <v>473.98000000000008</v>
      </c>
    </row>
    <row r="32" spans="1:12" x14ac:dyDescent="0.35">
      <c r="A32" t="s">
        <v>50</v>
      </c>
      <c r="B32" s="6">
        <v>44934</v>
      </c>
      <c r="C32" s="6" t="str">
        <f>TEXT(Table14[[#This Row],[Date]],"YYY")</f>
        <v>2023</v>
      </c>
      <c r="D32" s="6" t="str">
        <f>TEXT(Table14[[#This Row],[Date]],"MMMM")</f>
        <v>January</v>
      </c>
      <c r="E32" s="6" t="str">
        <f>"Q" &amp;ROUNDUP(MONTH(Table14[[#This Row],[Date]])/3,0)</f>
        <v>Q1</v>
      </c>
      <c r="F32" s="4" t="s">
        <v>15</v>
      </c>
      <c r="G32" s="4" t="s">
        <v>16</v>
      </c>
      <c r="H32" s="4" t="s">
        <v>19</v>
      </c>
      <c r="I32" s="15">
        <v>1285.6099999999999</v>
      </c>
      <c r="J32" s="17">
        <v>2</v>
      </c>
      <c r="K32" s="15">
        <v>572.12</v>
      </c>
      <c r="L32" s="15">
        <f>Table14[[#This Row],[Sales]]-Table14[[#This Row],[Cost]]</f>
        <v>713.4899999999999</v>
      </c>
    </row>
    <row r="33" spans="1:12" x14ac:dyDescent="0.35">
      <c r="A33" t="s">
        <v>51</v>
      </c>
      <c r="B33" s="6">
        <v>45265</v>
      </c>
      <c r="C33" s="6" t="str">
        <f>TEXT(Table14[[#This Row],[Date]],"YYY")</f>
        <v>2023</v>
      </c>
      <c r="D33" s="6" t="str">
        <f>TEXT(Table14[[#This Row],[Date]],"MMMM")</f>
        <v>December</v>
      </c>
      <c r="E33" s="6" t="str">
        <f>"Q" &amp;ROUNDUP(MONTH(Table14[[#This Row],[Date]])/3,0)</f>
        <v>Q4</v>
      </c>
      <c r="F33" s="4" t="s">
        <v>13</v>
      </c>
      <c r="G33" s="4" t="s">
        <v>10</v>
      </c>
      <c r="H33" s="4" t="s">
        <v>11</v>
      </c>
      <c r="I33" s="15">
        <v>1020.09</v>
      </c>
      <c r="J33" s="17">
        <v>2</v>
      </c>
      <c r="K33" s="15">
        <v>421.04</v>
      </c>
      <c r="L33" s="15">
        <f>Table14[[#This Row],[Sales]]-Table14[[#This Row],[Cost]]</f>
        <v>599.04999999999995</v>
      </c>
    </row>
    <row r="34" spans="1:12" x14ac:dyDescent="0.35">
      <c r="A34" t="s">
        <v>52</v>
      </c>
      <c r="B34" s="6">
        <v>45479</v>
      </c>
      <c r="C34" s="6" t="str">
        <f>TEXT(Table14[[#This Row],[Date]],"YYY")</f>
        <v>2024</v>
      </c>
      <c r="D34" s="6" t="str">
        <f>TEXT(Table14[[#This Row],[Date]],"MMMM")</f>
        <v>July</v>
      </c>
      <c r="E34" s="6" t="str">
        <f>"Q" &amp;ROUNDUP(MONTH(Table14[[#This Row],[Date]])/3,0)</f>
        <v>Q3</v>
      </c>
      <c r="F34" s="4" t="s">
        <v>18</v>
      </c>
      <c r="G34" s="4" t="s">
        <v>10</v>
      </c>
      <c r="H34" s="4" t="s">
        <v>19</v>
      </c>
      <c r="I34" s="15">
        <v>2546.5300000000002</v>
      </c>
      <c r="J34" s="17">
        <v>3</v>
      </c>
      <c r="K34" s="15">
        <v>584.22</v>
      </c>
      <c r="L34" s="15">
        <f>Table14[[#This Row],[Sales]]-Table14[[#This Row],[Cost]]</f>
        <v>1962.3100000000002</v>
      </c>
    </row>
    <row r="35" spans="1:12" x14ac:dyDescent="0.35">
      <c r="A35" t="s">
        <v>53</v>
      </c>
      <c r="B35" s="6">
        <v>45175</v>
      </c>
      <c r="C35" s="6" t="str">
        <f>TEXT(Table14[[#This Row],[Date]],"YYY")</f>
        <v>2023</v>
      </c>
      <c r="D35" s="6" t="str">
        <f>TEXT(Table14[[#This Row],[Date]],"MMMM")</f>
        <v>September</v>
      </c>
      <c r="E35" s="6" t="str">
        <f>"Q" &amp;ROUNDUP(MONTH(Table14[[#This Row],[Date]])/3,0)</f>
        <v>Q3</v>
      </c>
      <c r="F35" s="4" t="s">
        <v>25</v>
      </c>
      <c r="G35" s="4" t="s">
        <v>16</v>
      </c>
      <c r="H35" s="4" t="s">
        <v>21</v>
      </c>
      <c r="I35" s="15">
        <v>6114.64</v>
      </c>
      <c r="J35" s="17">
        <v>8</v>
      </c>
      <c r="K35" s="15">
        <v>649.85</v>
      </c>
      <c r="L35" s="15">
        <f>Table14[[#This Row],[Sales]]-Table14[[#This Row],[Cost]]</f>
        <v>5464.79</v>
      </c>
    </row>
    <row r="36" spans="1:12" x14ac:dyDescent="0.35">
      <c r="A36" t="s">
        <v>54</v>
      </c>
      <c r="B36" s="6">
        <v>45289</v>
      </c>
      <c r="C36" s="6" t="str">
        <f>TEXT(Table14[[#This Row],[Date]],"YYY")</f>
        <v>2023</v>
      </c>
      <c r="D36" s="6" t="str">
        <f>TEXT(Table14[[#This Row],[Date]],"MMMM")</f>
        <v>December</v>
      </c>
      <c r="E36" s="6" t="str">
        <f>"Q" &amp;ROUNDUP(MONTH(Table14[[#This Row],[Date]])/3,0)</f>
        <v>Q4</v>
      </c>
      <c r="F36" s="4" t="s">
        <v>13</v>
      </c>
      <c r="G36" s="4" t="s">
        <v>10</v>
      </c>
      <c r="H36" s="4" t="s">
        <v>21</v>
      </c>
      <c r="I36" s="15">
        <v>3447.05</v>
      </c>
      <c r="J36" s="17">
        <v>7</v>
      </c>
      <c r="K36" s="15">
        <v>340.66</v>
      </c>
      <c r="L36" s="15">
        <f>Table14[[#This Row],[Sales]]-Table14[[#This Row],[Cost]]</f>
        <v>3106.3900000000003</v>
      </c>
    </row>
    <row r="37" spans="1:12" x14ac:dyDescent="0.35">
      <c r="A37" t="s">
        <v>55</v>
      </c>
      <c r="B37" s="6">
        <v>44989</v>
      </c>
      <c r="C37" s="6" t="str">
        <f>TEXT(Table14[[#This Row],[Date]],"YYY")</f>
        <v>2023</v>
      </c>
      <c r="D37" s="6" t="str">
        <f>TEXT(Table14[[#This Row],[Date]],"MMMM")</f>
        <v>March</v>
      </c>
      <c r="E37" s="6" t="str">
        <f>"Q" &amp;ROUNDUP(MONTH(Table14[[#This Row],[Date]])/3,0)</f>
        <v>Q1</v>
      </c>
      <c r="F37" s="4" t="s">
        <v>13</v>
      </c>
      <c r="G37" s="4" t="s">
        <v>10</v>
      </c>
      <c r="H37" s="4" t="s">
        <v>11</v>
      </c>
      <c r="I37" s="15">
        <v>5845.79</v>
      </c>
      <c r="J37" s="17">
        <v>7</v>
      </c>
      <c r="K37" s="15">
        <v>588.01</v>
      </c>
      <c r="L37" s="15">
        <f>Table14[[#This Row],[Sales]]-Table14[[#This Row],[Cost]]</f>
        <v>5257.78</v>
      </c>
    </row>
    <row r="38" spans="1:12" x14ac:dyDescent="0.35">
      <c r="A38" t="s">
        <v>56</v>
      </c>
      <c r="B38" s="6">
        <v>45123</v>
      </c>
      <c r="C38" s="6" t="str">
        <f>TEXT(Table14[[#This Row],[Date]],"YYY")</f>
        <v>2023</v>
      </c>
      <c r="D38" s="6" t="str">
        <f>TEXT(Table14[[#This Row],[Date]],"MMMM")</f>
        <v>July</v>
      </c>
      <c r="E38" s="6" t="str">
        <f>"Q" &amp;ROUNDUP(MONTH(Table14[[#This Row],[Date]])/3,0)</f>
        <v>Q3</v>
      </c>
      <c r="F38" s="4" t="s">
        <v>13</v>
      </c>
      <c r="G38" s="4" t="s">
        <v>10</v>
      </c>
      <c r="H38" s="4" t="s">
        <v>19</v>
      </c>
      <c r="I38" s="15">
        <v>2026.83</v>
      </c>
      <c r="J38" s="17">
        <v>4</v>
      </c>
      <c r="K38" s="15">
        <v>438.3</v>
      </c>
      <c r="L38" s="15">
        <f>Table14[[#This Row],[Sales]]-Table14[[#This Row],[Cost]]</f>
        <v>1588.53</v>
      </c>
    </row>
    <row r="39" spans="1:12" x14ac:dyDescent="0.35">
      <c r="A39" t="s">
        <v>57</v>
      </c>
      <c r="B39" s="6">
        <v>45400</v>
      </c>
      <c r="C39" s="6" t="str">
        <f>TEXT(Table14[[#This Row],[Date]],"YYY")</f>
        <v>2024</v>
      </c>
      <c r="D39" s="6" t="str">
        <f>TEXT(Table14[[#This Row],[Date]],"MMMM")</f>
        <v>April</v>
      </c>
      <c r="E39" s="6" t="str">
        <f>"Q" &amp;ROUNDUP(MONTH(Table14[[#This Row],[Date]])/3,0)</f>
        <v>Q2</v>
      </c>
      <c r="F39" s="4" t="s">
        <v>15</v>
      </c>
      <c r="G39" s="4" t="s">
        <v>16</v>
      </c>
      <c r="H39" s="4" t="s">
        <v>26</v>
      </c>
      <c r="I39" s="15">
        <v>3173.92</v>
      </c>
      <c r="J39" s="17">
        <v>4</v>
      </c>
      <c r="K39" s="15">
        <v>702.1</v>
      </c>
      <c r="L39" s="15">
        <f>Table14[[#This Row],[Sales]]-Table14[[#This Row],[Cost]]</f>
        <v>2471.8200000000002</v>
      </c>
    </row>
    <row r="40" spans="1:12" x14ac:dyDescent="0.35">
      <c r="A40" t="s">
        <v>58</v>
      </c>
      <c r="B40" s="6">
        <v>44978</v>
      </c>
      <c r="C40" s="6" t="str">
        <f>TEXT(Table14[[#This Row],[Date]],"YYY")</f>
        <v>2023</v>
      </c>
      <c r="D40" s="6" t="str">
        <f>TEXT(Table14[[#This Row],[Date]],"MMMM")</f>
        <v>February</v>
      </c>
      <c r="E40" s="6" t="str">
        <f>"Q" &amp;ROUNDUP(MONTH(Table14[[#This Row],[Date]])/3,0)</f>
        <v>Q1</v>
      </c>
      <c r="F40" s="4" t="s">
        <v>25</v>
      </c>
      <c r="G40" s="4" t="s">
        <v>16</v>
      </c>
      <c r="H40" s="4" t="s">
        <v>11</v>
      </c>
      <c r="I40" s="15">
        <v>8998.33</v>
      </c>
      <c r="J40" s="17">
        <v>9</v>
      </c>
      <c r="K40" s="15">
        <v>672.1</v>
      </c>
      <c r="L40" s="15">
        <f>Table14[[#This Row],[Sales]]-Table14[[#This Row],[Cost]]</f>
        <v>8326.23</v>
      </c>
    </row>
    <row r="41" spans="1:12" x14ac:dyDescent="0.35">
      <c r="A41" t="s">
        <v>59</v>
      </c>
      <c r="B41" s="6">
        <v>45343</v>
      </c>
      <c r="C41" s="6" t="str">
        <f>TEXT(Table14[[#This Row],[Date]],"YYY")</f>
        <v>2024</v>
      </c>
      <c r="D41" s="6" t="str">
        <f>TEXT(Table14[[#This Row],[Date]],"MMMM")</f>
        <v>February</v>
      </c>
      <c r="E41" s="6" t="str">
        <f>"Q" &amp;ROUNDUP(MONTH(Table14[[#This Row],[Date]])/3,0)</f>
        <v>Q1</v>
      </c>
      <c r="F41" s="4" t="s">
        <v>15</v>
      </c>
      <c r="G41" s="4" t="s">
        <v>16</v>
      </c>
      <c r="H41" s="4" t="s">
        <v>19</v>
      </c>
      <c r="I41" s="15">
        <v>4574.24</v>
      </c>
      <c r="J41" s="17">
        <v>8</v>
      </c>
      <c r="K41" s="15">
        <v>395.46</v>
      </c>
      <c r="L41" s="15">
        <f>Table14[[#This Row],[Sales]]-Table14[[#This Row],[Cost]]</f>
        <v>4178.78</v>
      </c>
    </row>
    <row r="42" spans="1:12" x14ac:dyDescent="0.35">
      <c r="A42" t="s">
        <v>60</v>
      </c>
      <c r="B42" s="6">
        <v>45315</v>
      </c>
      <c r="C42" s="6" t="str">
        <f>TEXT(Table14[[#This Row],[Date]],"YYY")</f>
        <v>2024</v>
      </c>
      <c r="D42" s="6" t="str">
        <f>TEXT(Table14[[#This Row],[Date]],"MMMM")</f>
        <v>January</v>
      </c>
      <c r="E42" s="6" t="str">
        <f>"Q" &amp;ROUNDUP(MONTH(Table14[[#This Row],[Date]])/3,0)</f>
        <v>Q1</v>
      </c>
      <c r="F42" s="4" t="s">
        <v>13</v>
      </c>
      <c r="G42" s="4" t="s">
        <v>10</v>
      </c>
      <c r="H42" s="4" t="s">
        <v>19</v>
      </c>
      <c r="I42" s="15">
        <v>951.04</v>
      </c>
      <c r="J42" s="17">
        <v>1</v>
      </c>
      <c r="K42" s="15">
        <v>788.54</v>
      </c>
      <c r="L42" s="15">
        <f>Table14[[#This Row],[Sales]]-Table14[[#This Row],[Cost]]</f>
        <v>162.5</v>
      </c>
    </row>
    <row r="43" spans="1:12" x14ac:dyDescent="0.35">
      <c r="A43" t="s">
        <v>61</v>
      </c>
      <c r="B43" s="6">
        <v>45360</v>
      </c>
      <c r="C43" s="6" t="str">
        <f>TEXT(Table14[[#This Row],[Date]],"YYY")</f>
        <v>2024</v>
      </c>
      <c r="D43" s="6" t="str">
        <f>TEXT(Table14[[#This Row],[Date]],"MMMM")</f>
        <v>March</v>
      </c>
      <c r="E43" s="6" t="str">
        <f>"Q" &amp;ROUNDUP(MONTH(Table14[[#This Row],[Date]])/3,0)</f>
        <v>Q1</v>
      </c>
      <c r="F43" s="4" t="s">
        <v>18</v>
      </c>
      <c r="G43" s="4" t="s">
        <v>10</v>
      </c>
      <c r="H43" s="4" t="s">
        <v>26</v>
      </c>
      <c r="I43" s="15">
        <v>6248.51</v>
      </c>
      <c r="J43" s="17">
        <v>9</v>
      </c>
      <c r="K43" s="15">
        <v>536.26</v>
      </c>
      <c r="L43" s="15">
        <f>Table14[[#This Row],[Sales]]-Table14[[#This Row],[Cost]]</f>
        <v>5712.25</v>
      </c>
    </row>
    <row r="44" spans="1:12" x14ac:dyDescent="0.35">
      <c r="A44" t="s">
        <v>62</v>
      </c>
      <c r="B44" s="6">
        <v>45149</v>
      </c>
      <c r="C44" s="6" t="str">
        <f>TEXT(Table14[[#This Row],[Date]],"YYY")</f>
        <v>2023</v>
      </c>
      <c r="D44" s="6" t="str">
        <f>TEXT(Table14[[#This Row],[Date]],"MMMM")</f>
        <v>August</v>
      </c>
      <c r="E44" s="6" t="str">
        <f>"Q" &amp;ROUNDUP(MONTH(Table14[[#This Row],[Date]])/3,0)</f>
        <v>Q3</v>
      </c>
      <c r="F44" s="4" t="s">
        <v>15</v>
      </c>
      <c r="G44" s="4" t="s">
        <v>16</v>
      </c>
      <c r="H44" s="4" t="s">
        <v>26</v>
      </c>
      <c r="I44" s="15">
        <v>621.25</v>
      </c>
      <c r="J44" s="17">
        <v>1</v>
      </c>
      <c r="K44" s="15">
        <v>471.76</v>
      </c>
      <c r="L44" s="15">
        <f>Table14[[#This Row],[Sales]]-Table14[[#This Row],[Cost]]</f>
        <v>149.49</v>
      </c>
    </row>
    <row r="45" spans="1:12" x14ac:dyDescent="0.35">
      <c r="A45" t="s">
        <v>63</v>
      </c>
      <c r="B45" s="6">
        <v>44985</v>
      </c>
      <c r="C45" s="6" t="str">
        <f>TEXT(Table14[[#This Row],[Date]],"YYY")</f>
        <v>2023</v>
      </c>
      <c r="D45" s="6" t="str">
        <f>TEXT(Table14[[#This Row],[Date]],"MMMM")</f>
        <v>February</v>
      </c>
      <c r="E45" s="6" t="str">
        <f>"Q" &amp;ROUNDUP(MONTH(Table14[[#This Row],[Date]])/3,0)</f>
        <v>Q1</v>
      </c>
      <c r="F45" s="4" t="s">
        <v>9</v>
      </c>
      <c r="G45" s="4" t="s">
        <v>10</v>
      </c>
      <c r="H45" s="4" t="s">
        <v>26</v>
      </c>
      <c r="I45" s="15">
        <v>618.9</v>
      </c>
      <c r="J45" s="17">
        <v>1</v>
      </c>
      <c r="K45" s="15">
        <v>475.66</v>
      </c>
      <c r="L45" s="15">
        <f>Table14[[#This Row],[Sales]]-Table14[[#This Row],[Cost]]</f>
        <v>143.23999999999995</v>
      </c>
    </row>
    <row r="46" spans="1:12" x14ac:dyDescent="0.35">
      <c r="A46" t="s">
        <v>64</v>
      </c>
      <c r="B46" s="6">
        <v>44985</v>
      </c>
      <c r="C46" s="6" t="str">
        <f>TEXT(Table14[[#This Row],[Date]],"YYY")</f>
        <v>2023</v>
      </c>
      <c r="D46" s="6" t="str">
        <f>TEXT(Table14[[#This Row],[Date]],"MMMM")</f>
        <v>February</v>
      </c>
      <c r="E46" s="6" t="str">
        <f>"Q" &amp;ROUNDUP(MONTH(Table14[[#This Row],[Date]])/3,0)</f>
        <v>Q1</v>
      </c>
      <c r="F46" s="4" t="s">
        <v>25</v>
      </c>
      <c r="G46" s="4" t="s">
        <v>16</v>
      </c>
      <c r="H46" s="4" t="s">
        <v>19</v>
      </c>
      <c r="I46" s="15">
        <v>871.83</v>
      </c>
      <c r="J46" s="17">
        <v>9</v>
      </c>
      <c r="K46" s="15">
        <v>82.49</v>
      </c>
      <c r="L46" s="15">
        <f>Table14[[#This Row],[Sales]]-Table14[[#This Row],[Cost]]</f>
        <v>789.34</v>
      </c>
    </row>
    <row r="47" spans="1:12" x14ac:dyDescent="0.35">
      <c r="A47" t="s">
        <v>65</v>
      </c>
      <c r="B47" s="6">
        <v>45618</v>
      </c>
      <c r="C47" s="6" t="str">
        <f>TEXT(Table14[[#This Row],[Date]],"YYY")</f>
        <v>2024</v>
      </c>
      <c r="D47" s="6" t="str">
        <f>TEXT(Table14[[#This Row],[Date]],"MMMM")</f>
        <v>November</v>
      </c>
      <c r="E47" s="6" t="str">
        <f>"Q" &amp;ROUNDUP(MONTH(Table14[[#This Row],[Date]])/3,0)</f>
        <v>Q4</v>
      </c>
      <c r="F47" s="4" t="s">
        <v>25</v>
      </c>
      <c r="G47" s="4" t="s">
        <v>16</v>
      </c>
      <c r="H47" s="4" t="s">
        <v>11</v>
      </c>
      <c r="I47" s="15">
        <v>1978.34</v>
      </c>
      <c r="J47" s="17">
        <v>4</v>
      </c>
      <c r="K47" s="15">
        <v>334.94</v>
      </c>
      <c r="L47" s="15">
        <f>Table14[[#This Row],[Sales]]-Table14[[#This Row],[Cost]]</f>
        <v>1643.3999999999999</v>
      </c>
    </row>
    <row r="48" spans="1:12" x14ac:dyDescent="0.35">
      <c r="A48" t="s">
        <v>66</v>
      </c>
      <c r="B48" s="6">
        <v>45519</v>
      </c>
      <c r="C48" s="6" t="str">
        <f>TEXT(Table14[[#This Row],[Date]],"YYY")</f>
        <v>2024</v>
      </c>
      <c r="D48" s="6" t="str">
        <f>TEXT(Table14[[#This Row],[Date]],"MMMM")</f>
        <v>August</v>
      </c>
      <c r="E48" s="6" t="str">
        <f>"Q" &amp;ROUNDUP(MONTH(Table14[[#This Row],[Date]])/3,0)</f>
        <v>Q3</v>
      </c>
      <c r="F48" s="4" t="s">
        <v>25</v>
      </c>
      <c r="G48" s="4" t="s">
        <v>16</v>
      </c>
      <c r="H48" s="4" t="s">
        <v>19</v>
      </c>
      <c r="I48" s="15">
        <v>577.72</v>
      </c>
      <c r="J48" s="17">
        <v>10</v>
      </c>
      <c r="K48" s="15">
        <v>51</v>
      </c>
      <c r="L48" s="15">
        <f>Table14[[#This Row],[Sales]]-Table14[[#This Row],[Cost]]</f>
        <v>526.72</v>
      </c>
    </row>
    <row r="49" spans="1:12" x14ac:dyDescent="0.35">
      <c r="A49" t="s">
        <v>67</v>
      </c>
      <c r="B49" s="6">
        <v>45194</v>
      </c>
      <c r="C49" s="6" t="str">
        <f>TEXT(Table14[[#This Row],[Date]],"YYY")</f>
        <v>2023</v>
      </c>
      <c r="D49" s="6" t="str">
        <f>TEXT(Table14[[#This Row],[Date]],"MMMM")</f>
        <v>September</v>
      </c>
      <c r="E49" s="6" t="str">
        <f>"Q" &amp;ROUNDUP(MONTH(Table14[[#This Row],[Date]])/3,0)</f>
        <v>Q3</v>
      </c>
      <c r="F49" s="4" t="s">
        <v>9</v>
      </c>
      <c r="G49" s="4" t="s">
        <v>10</v>
      </c>
      <c r="H49" s="4" t="s">
        <v>26</v>
      </c>
      <c r="I49" s="15">
        <v>2659.17</v>
      </c>
      <c r="J49" s="17">
        <v>4</v>
      </c>
      <c r="K49" s="15">
        <v>542.39</v>
      </c>
      <c r="L49" s="15">
        <f>Table14[[#This Row],[Sales]]-Table14[[#This Row],[Cost]]</f>
        <v>2116.7800000000002</v>
      </c>
    </row>
    <row r="50" spans="1:12" x14ac:dyDescent="0.35">
      <c r="A50" t="s">
        <v>68</v>
      </c>
      <c r="B50" s="6">
        <v>45061</v>
      </c>
      <c r="C50" s="6" t="str">
        <f>TEXT(Table14[[#This Row],[Date]],"YYY")</f>
        <v>2023</v>
      </c>
      <c r="D50" s="6" t="str">
        <f>TEXT(Table14[[#This Row],[Date]],"MMMM")</f>
        <v>May</v>
      </c>
      <c r="E50" s="6" t="str">
        <f>"Q" &amp;ROUNDUP(MONTH(Table14[[#This Row],[Date]])/3,0)</f>
        <v>Q2</v>
      </c>
      <c r="F50" s="4" t="s">
        <v>23</v>
      </c>
      <c r="G50" s="4" t="s">
        <v>16</v>
      </c>
      <c r="H50" s="4" t="s">
        <v>21</v>
      </c>
      <c r="I50" s="15">
        <v>2771.33</v>
      </c>
      <c r="J50" s="17">
        <v>5</v>
      </c>
      <c r="K50" s="15">
        <v>376.64</v>
      </c>
      <c r="L50" s="15">
        <f>Table14[[#This Row],[Sales]]-Table14[[#This Row],[Cost]]</f>
        <v>2394.69</v>
      </c>
    </row>
    <row r="51" spans="1:12" x14ac:dyDescent="0.35">
      <c r="A51" t="s">
        <v>69</v>
      </c>
      <c r="B51" s="6">
        <v>45396</v>
      </c>
      <c r="C51" s="6" t="str">
        <f>TEXT(Table14[[#This Row],[Date]],"YYY")</f>
        <v>2024</v>
      </c>
      <c r="D51" s="6" t="str">
        <f>TEXT(Table14[[#This Row],[Date]],"MMMM")</f>
        <v>April</v>
      </c>
      <c r="E51" s="6" t="str">
        <f>"Q" &amp;ROUNDUP(MONTH(Table14[[#This Row],[Date]])/3,0)</f>
        <v>Q2</v>
      </c>
      <c r="F51" s="4" t="s">
        <v>13</v>
      </c>
      <c r="G51" s="4" t="s">
        <v>10</v>
      </c>
      <c r="H51" s="4" t="s">
        <v>11</v>
      </c>
      <c r="I51" s="15">
        <v>11969.38</v>
      </c>
      <c r="J51" s="17">
        <v>10</v>
      </c>
      <c r="K51" s="15">
        <v>798.79</v>
      </c>
      <c r="L51" s="15">
        <f>Table14[[#This Row],[Sales]]-Table14[[#This Row],[Cost]]</f>
        <v>11170.59</v>
      </c>
    </row>
    <row r="52" spans="1:12" x14ac:dyDescent="0.35">
      <c r="A52" t="s">
        <v>70</v>
      </c>
      <c r="B52" s="6">
        <v>45445</v>
      </c>
      <c r="C52" s="6" t="str">
        <f>TEXT(Table14[[#This Row],[Date]],"YYY")</f>
        <v>2024</v>
      </c>
      <c r="D52" s="6" t="str">
        <f>TEXT(Table14[[#This Row],[Date]],"MMMM")</f>
        <v>June</v>
      </c>
      <c r="E52" s="6" t="str">
        <f>"Q" &amp;ROUNDUP(MONTH(Table14[[#This Row],[Date]])/3,0)</f>
        <v>Q2</v>
      </c>
      <c r="F52" s="4" t="s">
        <v>13</v>
      </c>
      <c r="G52" s="4" t="s">
        <v>10</v>
      </c>
      <c r="H52" s="4" t="s">
        <v>19</v>
      </c>
      <c r="I52" s="15">
        <v>764.34</v>
      </c>
      <c r="J52" s="17">
        <v>5</v>
      </c>
      <c r="K52" s="15">
        <v>123.32</v>
      </c>
      <c r="L52" s="15">
        <f>Table14[[#This Row],[Sales]]-Table14[[#This Row],[Cost]]</f>
        <v>641.02</v>
      </c>
    </row>
    <row r="53" spans="1:12" x14ac:dyDescent="0.35">
      <c r="A53" t="s">
        <v>71</v>
      </c>
      <c r="B53" s="6">
        <v>45305</v>
      </c>
      <c r="C53" s="6" t="str">
        <f>TEXT(Table14[[#This Row],[Date]],"YYY")</f>
        <v>2024</v>
      </c>
      <c r="D53" s="6" t="str">
        <f>TEXT(Table14[[#This Row],[Date]],"MMMM")</f>
        <v>January</v>
      </c>
      <c r="E53" s="6" t="str">
        <f>"Q" &amp;ROUNDUP(MONTH(Table14[[#This Row],[Date]])/3,0)</f>
        <v>Q1</v>
      </c>
      <c r="F53" s="4" t="s">
        <v>13</v>
      </c>
      <c r="G53" s="4" t="s">
        <v>10</v>
      </c>
      <c r="H53" s="4" t="s">
        <v>19</v>
      </c>
      <c r="I53" s="15">
        <v>1025.24</v>
      </c>
      <c r="J53" s="17">
        <v>5</v>
      </c>
      <c r="K53" s="15">
        <v>143.04</v>
      </c>
      <c r="L53" s="15">
        <f>Table14[[#This Row],[Sales]]-Table14[[#This Row],[Cost]]</f>
        <v>882.2</v>
      </c>
    </row>
    <row r="54" spans="1:12" x14ac:dyDescent="0.35">
      <c r="A54" t="s">
        <v>72</v>
      </c>
      <c r="B54" s="6">
        <v>45553</v>
      </c>
      <c r="C54" s="6" t="str">
        <f>TEXT(Table14[[#This Row],[Date]],"YYY")</f>
        <v>2024</v>
      </c>
      <c r="D54" s="6" t="str">
        <f>TEXT(Table14[[#This Row],[Date]],"MMMM")</f>
        <v>September</v>
      </c>
      <c r="E54" s="6" t="str">
        <f>"Q" &amp;ROUNDUP(MONTH(Table14[[#This Row],[Date]])/3,0)</f>
        <v>Q3</v>
      </c>
      <c r="F54" s="4" t="s">
        <v>9</v>
      </c>
      <c r="G54" s="4" t="s">
        <v>10</v>
      </c>
      <c r="H54" s="4" t="s">
        <v>26</v>
      </c>
      <c r="I54" s="15">
        <v>335.17</v>
      </c>
      <c r="J54" s="17">
        <v>9</v>
      </c>
      <c r="K54" s="15">
        <v>26.1</v>
      </c>
      <c r="L54" s="15">
        <f>Table14[[#This Row],[Sales]]-Table14[[#This Row],[Cost]]</f>
        <v>309.07</v>
      </c>
    </row>
    <row r="55" spans="1:12" x14ac:dyDescent="0.35">
      <c r="A55" t="s">
        <v>73</v>
      </c>
      <c r="B55" s="6">
        <v>45064</v>
      </c>
      <c r="C55" s="6" t="str">
        <f>TEXT(Table14[[#This Row],[Date]],"YYY")</f>
        <v>2023</v>
      </c>
      <c r="D55" s="6" t="str">
        <f>TEXT(Table14[[#This Row],[Date]],"MMMM")</f>
        <v>May</v>
      </c>
      <c r="E55" s="6" t="str">
        <f>"Q" &amp;ROUNDUP(MONTH(Table14[[#This Row],[Date]])/3,0)</f>
        <v>Q2</v>
      </c>
      <c r="F55" s="4" t="s">
        <v>23</v>
      </c>
      <c r="G55" s="4" t="s">
        <v>16</v>
      </c>
      <c r="H55" s="4" t="s">
        <v>11</v>
      </c>
      <c r="I55" s="15">
        <v>628.72</v>
      </c>
      <c r="J55" s="17">
        <v>5</v>
      </c>
      <c r="K55" s="15">
        <v>110.03</v>
      </c>
      <c r="L55" s="15">
        <f>Table14[[#This Row],[Sales]]-Table14[[#This Row],[Cost]]</f>
        <v>518.69000000000005</v>
      </c>
    </row>
    <row r="56" spans="1:12" x14ac:dyDescent="0.35">
      <c r="A56" t="s">
        <v>74</v>
      </c>
      <c r="B56" s="6">
        <v>45205</v>
      </c>
      <c r="C56" s="6" t="str">
        <f>TEXT(Table14[[#This Row],[Date]],"YYY")</f>
        <v>2023</v>
      </c>
      <c r="D56" s="6" t="str">
        <f>TEXT(Table14[[#This Row],[Date]],"MMMM")</f>
        <v>October</v>
      </c>
      <c r="E56" s="6" t="str">
        <f>"Q" &amp;ROUNDUP(MONTH(Table14[[#This Row],[Date]])/3,0)</f>
        <v>Q4</v>
      </c>
      <c r="F56" s="4" t="s">
        <v>25</v>
      </c>
      <c r="G56" s="4" t="s">
        <v>16</v>
      </c>
      <c r="H56" s="4" t="s">
        <v>19</v>
      </c>
      <c r="I56" s="15">
        <v>3410.54</v>
      </c>
      <c r="J56" s="17">
        <v>5</v>
      </c>
      <c r="K56" s="15">
        <v>491.77</v>
      </c>
      <c r="L56" s="15">
        <f>Table14[[#This Row],[Sales]]-Table14[[#This Row],[Cost]]</f>
        <v>2918.77</v>
      </c>
    </row>
    <row r="57" spans="1:12" x14ac:dyDescent="0.35">
      <c r="A57" t="s">
        <v>75</v>
      </c>
      <c r="B57" s="6">
        <v>45444</v>
      </c>
      <c r="C57" s="6" t="str">
        <f>TEXT(Table14[[#This Row],[Date]],"YYY")</f>
        <v>2024</v>
      </c>
      <c r="D57" s="6" t="str">
        <f>TEXT(Table14[[#This Row],[Date]],"MMMM")</f>
        <v>June</v>
      </c>
      <c r="E57" s="6" t="str">
        <f>"Q" &amp;ROUNDUP(MONTH(Table14[[#This Row],[Date]])/3,0)</f>
        <v>Q2</v>
      </c>
      <c r="F57" s="4" t="s">
        <v>15</v>
      </c>
      <c r="G57" s="4" t="s">
        <v>16</v>
      </c>
      <c r="H57" s="4" t="s">
        <v>26</v>
      </c>
      <c r="I57" s="15">
        <v>2527</v>
      </c>
      <c r="J57" s="17">
        <v>8</v>
      </c>
      <c r="K57" s="15">
        <v>215.87</v>
      </c>
      <c r="L57" s="15">
        <f>Table14[[#This Row],[Sales]]-Table14[[#This Row],[Cost]]</f>
        <v>2311.13</v>
      </c>
    </row>
    <row r="58" spans="1:12" x14ac:dyDescent="0.35">
      <c r="A58" t="s">
        <v>76</v>
      </c>
      <c r="B58" s="6">
        <v>45576</v>
      </c>
      <c r="C58" s="6" t="str">
        <f>TEXT(Table14[[#This Row],[Date]],"YYY")</f>
        <v>2024</v>
      </c>
      <c r="D58" s="6" t="str">
        <f>TEXT(Table14[[#This Row],[Date]],"MMMM")</f>
        <v>October</v>
      </c>
      <c r="E58" s="6" t="str">
        <f>"Q" &amp;ROUNDUP(MONTH(Table14[[#This Row],[Date]])/3,0)</f>
        <v>Q4</v>
      </c>
      <c r="F58" s="4" t="s">
        <v>13</v>
      </c>
      <c r="G58" s="4" t="s">
        <v>10</v>
      </c>
      <c r="H58" s="4" t="s">
        <v>11</v>
      </c>
      <c r="I58" s="15">
        <v>5217.38</v>
      </c>
      <c r="J58" s="17">
        <v>7</v>
      </c>
      <c r="K58" s="15">
        <v>666.89</v>
      </c>
      <c r="L58" s="15">
        <f>Table14[[#This Row],[Sales]]-Table14[[#This Row],[Cost]]</f>
        <v>4550.49</v>
      </c>
    </row>
    <row r="59" spans="1:12" x14ac:dyDescent="0.35">
      <c r="A59" t="s">
        <v>77</v>
      </c>
      <c r="B59" s="6">
        <v>45579</v>
      </c>
      <c r="C59" s="6" t="str">
        <f>TEXT(Table14[[#This Row],[Date]],"YYY")</f>
        <v>2024</v>
      </c>
      <c r="D59" s="6" t="str">
        <f>TEXT(Table14[[#This Row],[Date]],"MMMM")</f>
        <v>October</v>
      </c>
      <c r="E59" s="6" t="str">
        <f>"Q" &amp;ROUNDUP(MONTH(Table14[[#This Row],[Date]])/3,0)</f>
        <v>Q4</v>
      </c>
      <c r="F59" s="4" t="s">
        <v>23</v>
      </c>
      <c r="G59" s="4" t="s">
        <v>16</v>
      </c>
      <c r="H59" s="4" t="s">
        <v>19</v>
      </c>
      <c r="I59" s="15">
        <v>932.21</v>
      </c>
      <c r="J59" s="17">
        <v>5</v>
      </c>
      <c r="K59" s="15">
        <v>146.03</v>
      </c>
      <c r="L59" s="15">
        <f>Table14[[#This Row],[Sales]]-Table14[[#This Row],[Cost]]</f>
        <v>786.18000000000006</v>
      </c>
    </row>
    <row r="60" spans="1:12" x14ac:dyDescent="0.35">
      <c r="A60" t="s">
        <v>78</v>
      </c>
      <c r="B60" s="6">
        <v>45501</v>
      </c>
      <c r="C60" s="6" t="str">
        <f>TEXT(Table14[[#This Row],[Date]],"YYY")</f>
        <v>2024</v>
      </c>
      <c r="D60" s="6" t="str">
        <f>TEXT(Table14[[#This Row],[Date]],"MMMM")</f>
        <v>July</v>
      </c>
      <c r="E60" s="6" t="str">
        <f>"Q" &amp;ROUNDUP(MONTH(Table14[[#This Row],[Date]])/3,0)</f>
        <v>Q3</v>
      </c>
      <c r="F60" s="4" t="s">
        <v>9</v>
      </c>
      <c r="G60" s="4" t="s">
        <v>10</v>
      </c>
      <c r="H60" s="4" t="s">
        <v>21</v>
      </c>
      <c r="I60" s="15">
        <v>158.53</v>
      </c>
      <c r="J60" s="17">
        <v>1</v>
      </c>
      <c r="K60" s="15">
        <v>107.26</v>
      </c>
      <c r="L60" s="15">
        <f>Table14[[#This Row],[Sales]]-Table14[[#This Row],[Cost]]</f>
        <v>51.269999999999996</v>
      </c>
    </row>
    <row r="61" spans="1:12" x14ac:dyDescent="0.35">
      <c r="A61" t="s">
        <v>79</v>
      </c>
      <c r="B61" s="6">
        <v>45485</v>
      </c>
      <c r="C61" s="6" t="str">
        <f>TEXT(Table14[[#This Row],[Date]],"YYY")</f>
        <v>2024</v>
      </c>
      <c r="D61" s="6" t="str">
        <f>TEXT(Table14[[#This Row],[Date]],"MMMM")</f>
        <v>July</v>
      </c>
      <c r="E61" s="6" t="str">
        <f>"Q" &amp;ROUNDUP(MONTH(Table14[[#This Row],[Date]])/3,0)</f>
        <v>Q3</v>
      </c>
      <c r="F61" s="4" t="s">
        <v>9</v>
      </c>
      <c r="G61" s="4" t="s">
        <v>10</v>
      </c>
      <c r="H61" s="4" t="s">
        <v>19</v>
      </c>
      <c r="I61" s="15">
        <v>894.42</v>
      </c>
      <c r="J61" s="17">
        <v>1</v>
      </c>
      <c r="K61" s="15">
        <v>670.98</v>
      </c>
      <c r="L61" s="15">
        <f>Table14[[#This Row],[Sales]]-Table14[[#This Row],[Cost]]</f>
        <v>223.43999999999994</v>
      </c>
    </row>
    <row r="62" spans="1:12" x14ac:dyDescent="0.35">
      <c r="A62" t="s">
        <v>80</v>
      </c>
      <c r="B62" s="6">
        <v>45057</v>
      </c>
      <c r="C62" s="6" t="str">
        <f>TEXT(Table14[[#This Row],[Date]],"YYY")</f>
        <v>2023</v>
      </c>
      <c r="D62" s="6" t="str">
        <f>TEXT(Table14[[#This Row],[Date]],"MMMM")</f>
        <v>May</v>
      </c>
      <c r="E62" s="6" t="str">
        <f>"Q" &amp;ROUNDUP(MONTH(Table14[[#This Row],[Date]])/3,0)</f>
        <v>Q2</v>
      </c>
      <c r="F62" s="4" t="s">
        <v>15</v>
      </c>
      <c r="G62" s="4" t="s">
        <v>16</v>
      </c>
      <c r="H62" s="4" t="s">
        <v>21</v>
      </c>
      <c r="I62" s="15">
        <v>380.14</v>
      </c>
      <c r="J62" s="17">
        <v>1</v>
      </c>
      <c r="K62" s="15">
        <v>260.44</v>
      </c>
      <c r="L62" s="15">
        <f>Table14[[#This Row],[Sales]]-Table14[[#This Row],[Cost]]</f>
        <v>119.69999999999999</v>
      </c>
    </row>
    <row r="63" spans="1:12" x14ac:dyDescent="0.35">
      <c r="A63" t="s">
        <v>81</v>
      </c>
      <c r="B63" s="6">
        <v>45142</v>
      </c>
      <c r="C63" s="6" t="str">
        <f>TEXT(Table14[[#This Row],[Date]],"YYY")</f>
        <v>2023</v>
      </c>
      <c r="D63" s="6" t="str">
        <f>TEXT(Table14[[#This Row],[Date]],"MMMM")</f>
        <v>August</v>
      </c>
      <c r="E63" s="6" t="str">
        <f>"Q" &amp;ROUNDUP(MONTH(Table14[[#This Row],[Date]])/3,0)</f>
        <v>Q3</v>
      </c>
      <c r="F63" s="4" t="s">
        <v>13</v>
      </c>
      <c r="G63" s="4" t="s">
        <v>10</v>
      </c>
      <c r="H63" s="4" t="s">
        <v>26</v>
      </c>
      <c r="I63" s="15">
        <v>2682.62</v>
      </c>
      <c r="J63" s="17">
        <v>4</v>
      </c>
      <c r="K63" s="15">
        <v>540.21</v>
      </c>
      <c r="L63" s="15">
        <f>Table14[[#This Row],[Sales]]-Table14[[#This Row],[Cost]]</f>
        <v>2142.41</v>
      </c>
    </row>
    <row r="64" spans="1:12" x14ac:dyDescent="0.35">
      <c r="A64" t="s">
        <v>82</v>
      </c>
      <c r="B64" s="6">
        <v>45562</v>
      </c>
      <c r="C64" s="6" t="str">
        <f>TEXT(Table14[[#This Row],[Date]],"YYY")</f>
        <v>2024</v>
      </c>
      <c r="D64" s="6" t="str">
        <f>TEXT(Table14[[#This Row],[Date]],"MMMM")</f>
        <v>September</v>
      </c>
      <c r="E64" s="6" t="str">
        <f>"Q" &amp;ROUNDUP(MONTH(Table14[[#This Row],[Date]])/3,0)</f>
        <v>Q3</v>
      </c>
      <c r="F64" s="4" t="s">
        <v>25</v>
      </c>
      <c r="G64" s="4" t="s">
        <v>16</v>
      </c>
      <c r="H64" s="4" t="s">
        <v>21</v>
      </c>
      <c r="I64" s="15">
        <v>2659.75</v>
      </c>
      <c r="J64" s="17">
        <v>3</v>
      </c>
      <c r="K64" s="15">
        <v>742.1</v>
      </c>
      <c r="L64" s="15">
        <f>Table14[[#This Row],[Sales]]-Table14[[#This Row],[Cost]]</f>
        <v>1917.65</v>
      </c>
    </row>
    <row r="65" spans="1:12" x14ac:dyDescent="0.35">
      <c r="A65" t="s">
        <v>83</v>
      </c>
      <c r="B65" s="6">
        <v>45349</v>
      </c>
      <c r="C65" s="6" t="str">
        <f>TEXT(Table14[[#This Row],[Date]],"YYY")</f>
        <v>2024</v>
      </c>
      <c r="D65" s="6" t="str">
        <f>TEXT(Table14[[#This Row],[Date]],"MMMM")</f>
        <v>February</v>
      </c>
      <c r="E65" s="6" t="str">
        <f>"Q" &amp;ROUNDUP(MONTH(Table14[[#This Row],[Date]])/3,0)</f>
        <v>Q1</v>
      </c>
      <c r="F65" s="4" t="s">
        <v>15</v>
      </c>
      <c r="G65" s="4" t="s">
        <v>16</v>
      </c>
      <c r="H65" s="4" t="s">
        <v>19</v>
      </c>
      <c r="I65" s="15">
        <v>235.02</v>
      </c>
      <c r="J65" s="17">
        <v>1</v>
      </c>
      <c r="K65" s="15">
        <v>159.9</v>
      </c>
      <c r="L65" s="15">
        <f>Table14[[#This Row],[Sales]]-Table14[[#This Row],[Cost]]</f>
        <v>75.12</v>
      </c>
    </row>
    <row r="66" spans="1:12" x14ac:dyDescent="0.35">
      <c r="A66" t="s">
        <v>84</v>
      </c>
      <c r="B66" s="6">
        <v>45200</v>
      </c>
      <c r="C66" s="6" t="str">
        <f>TEXT(Table14[[#This Row],[Date]],"YYY")</f>
        <v>2023</v>
      </c>
      <c r="D66" s="6" t="str">
        <f>TEXT(Table14[[#This Row],[Date]],"MMMM")</f>
        <v>October</v>
      </c>
      <c r="E66" s="6" t="str">
        <f>"Q" &amp;ROUNDUP(MONTH(Table14[[#This Row],[Date]])/3,0)</f>
        <v>Q4</v>
      </c>
      <c r="F66" s="4" t="s">
        <v>18</v>
      </c>
      <c r="G66" s="4" t="s">
        <v>10</v>
      </c>
      <c r="H66" s="4" t="s">
        <v>19</v>
      </c>
      <c r="I66" s="15">
        <v>2174.9499999999998</v>
      </c>
      <c r="J66" s="17">
        <v>3</v>
      </c>
      <c r="K66" s="15">
        <v>634.15</v>
      </c>
      <c r="L66" s="15">
        <f>Table14[[#This Row],[Sales]]-Table14[[#This Row],[Cost]]</f>
        <v>1540.7999999999997</v>
      </c>
    </row>
    <row r="67" spans="1:12" x14ac:dyDescent="0.35">
      <c r="A67" t="s">
        <v>85</v>
      </c>
      <c r="B67" s="6">
        <v>45154</v>
      </c>
      <c r="C67" s="6" t="str">
        <f>TEXT(Table14[[#This Row],[Date]],"YYY")</f>
        <v>2023</v>
      </c>
      <c r="D67" s="6" t="str">
        <f>TEXT(Table14[[#This Row],[Date]],"MMMM")</f>
        <v>August</v>
      </c>
      <c r="E67" s="6" t="str">
        <f>"Q" &amp;ROUNDUP(MONTH(Table14[[#This Row],[Date]])/3,0)</f>
        <v>Q3</v>
      </c>
      <c r="F67" s="4" t="s">
        <v>13</v>
      </c>
      <c r="G67" s="4" t="s">
        <v>10</v>
      </c>
      <c r="H67" s="4" t="s">
        <v>21</v>
      </c>
      <c r="I67" s="15">
        <v>3374.36</v>
      </c>
      <c r="J67" s="17">
        <v>4</v>
      </c>
      <c r="K67" s="15">
        <v>656.94</v>
      </c>
      <c r="L67" s="15">
        <f>Table14[[#This Row],[Sales]]-Table14[[#This Row],[Cost]]</f>
        <v>2717.42</v>
      </c>
    </row>
    <row r="68" spans="1:12" x14ac:dyDescent="0.35">
      <c r="A68" t="s">
        <v>86</v>
      </c>
      <c r="B68" s="6">
        <v>45155</v>
      </c>
      <c r="C68" s="6" t="str">
        <f>TEXT(Table14[[#This Row],[Date]],"YYY")</f>
        <v>2023</v>
      </c>
      <c r="D68" s="6" t="str">
        <f>TEXT(Table14[[#This Row],[Date]],"MMMM")</f>
        <v>August</v>
      </c>
      <c r="E68" s="6" t="str">
        <f>"Q" &amp;ROUNDUP(MONTH(Table14[[#This Row],[Date]])/3,0)</f>
        <v>Q3</v>
      </c>
      <c r="F68" s="4" t="s">
        <v>23</v>
      </c>
      <c r="G68" s="4" t="s">
        <v>16</v>
      </c>
      <c r="H68" s="4" t="s">
        <v>19</v>
      </c>
      <c r="I68" s="15">
        <v>673.56</v>
      </c>
      <c r="J68" s="17">
        <v>1</v>
      </c>
      <c r="K68" s="15">
        <v>534.83000000000004</v>
      </c>
      <c r="L68" s="15">
        <f>Table14[[#This Row],[Sales]]-Table14[[#This Row],[Cost]]</f>
        <v>138.7299999999999</v>
      </c>
    </row>
    <row r="69" spans="1:12" x14ac:dyDescent="0.35">
      <c r="A69" t="s">
        <v>87</v>
      </c>
      <c r="B69" s="6">
        <v>45212</v>
      </c>
      <c r="C69" s="6" t="str">
        <f>TEXT(Table14[[#This Row],[Date]],"YYY")</f>
        <v>2023</v>
      </c>
      <c r="D69" s="6" t="str">
        <f>TEXT(Table14[[#This Row],[Date]],"MMMM")</f>
        <v>October</v>
      </c>
      <c r="E69" s="6" t="str">
        <f>"Q" &amp;ROUNDUP(MONTH(Table14[[#This Row],[Date]])/3,0)</f>
        <v>Q4</v>
      </c>
      <c r="F69" s="4" t="s">
        <v>23</v>
      </c>
      <c r="G69" s="4" t="s">
        <v>16</v>
      </c>
      <c r="H69" s="4" t="s">
        <v>11</v>
      </c>
      <c r="I69" s="15">
        <v>3933.52</v>
      </c>
      <c r="J69" s="17">
        <v>6</v>
      </c>
      <c r="K69" s="15">
        <v>520.36</v>
      </c>
      <c r="L69" s="15">
        <f>Table14[[#This Row],[Sales]]-Table14[[#This Row],[Cost]]</f>
        <v>3413.16</v>
      </c>
    </row>
    <row r="70" spans="1:12" x14ac:dyDescent="0.35">
      <c r="A70" t="s">
        <v>88</v>
      </c>
      <c r="B70" s="6">
        <v>44955</v>
      </c>
      <c r="C70" s="6" t="str">
        <f>TEXT(Table14[[#This Row],[Date]],"YYY")</f>
        <v>2023</v>
      </c>
      <c r="D70" s="6" t="str">
        <f>TEXT(Table14[[#This Row],[Date]],"MMMM")</f>
        <v>January</v>
      </c>
      <c r="E70" s="6" t="str">
        <f>"Q" &amp;ROUNDUP(MONTH(Table14[[#This Row],[Date]])/3,0)</f>
        <v>Q1</v>
      </c>
      <c r="F70" s="4" t="s">
        <v>25</v>
      </c>
      <c r="G70" s="4" t="s">
        <v>16</v>
      </c>
      <c r="H70" s="4" t="s">
        <v>26</v>
      </c>
      <c r="I70" s="15">
        <v>1696.13</v>
      </c>
      <c r="J70" s="17">
        <v>2</v>
      </c>
      <c r="K70" s="15">
        <v>704.09</v>
      </c>
      <c r="L70" s="15">
        <f>Table14[[#This Row],[Sales]]-Table14[[#This Row],[Cost]]</f>
        <v>992.04000000000008</v>
      </c>
    </row>
    <row r="71" spans="1:12" x14ac:dyDescent="0.35">
      <c r="A71" t="s">
        <v>89</v>
      </c>
      <c r="B71" s="6">
        <v>44966</v>
      </c>
      <c r="C71" s="6" t="str">
        <f>TEXT(Table14[[#This Row],[Date]],"YYY")</f>
        <v>2023</v>
      </c>
      <c r="D71" s="6" t="str">
        <f>TEXT(Table14[[#This Row],[Date]],"MMMM")</f>
        <v>February</v>
      </c>
      <c r="E71" s="6" t="str">
        <f>"Q" &amp;ROUNDUP(MONTH(Table14[[#This Row],[Date]])/3,0)</f>
        <v>Q1</v>
      </c>
      <c r="F71" s="4" t="s">
        <v>25</v>
      </c>
      <c r="G71" s="4" t="s">
        <v>16</v>
      </c>
      <c r="H71" s="4" t="s">
        <v>26</v>
      </c>
      <c r="I71" s="15">
        <v>1201.94</v>
      </c>
      <c r="J71" s="17">
        <v>2</v>
      </c>
      <c r="K71" s="15">
        <v>485.33</v>
      </c>
      <c r="L71" s="15">
        <f>Table14[[#This Row],[Sales]]-Table14[[#This Row],[Cost]]</f>
        <v>716.61000000000013</v>
      </c>
    </row>
    <row r="72" spans="1:12" x14ac:dyDescent="0.35">
      <c r="A72" t="s">
        <v>90</v>
      </c>
      <c r="B72" s="6">
        <v>45547</v>
      </c>
      <c r="C72" s="6" t="str">
        <f>TEXT(Table14[[#This Row],[Date]],"YYY")</f>
        <v>2024</v>
      </c>
      <c r="D72" s="6" t="str">
        <f>TEXT(Table14[[#This Row],[Date]],"MMMM")</f>
        <v>September</v>
      </c>
      <c r="E72" s="6" t="str">
        <f>"Q" &amp;ROUNDUP(MONTH(Table14[[#This Row],[Date]])/3,0)</f>
        <v>Q3</v>
      </c>
      <c r="F72" s="4" t="s">
        <v>23</v>
      </c>
      <c r="G72" s="4" t="s">
        <v>16</v>
      </c>
      <c r="H72" s="4" t="s">
        <v>21</v>
      </c>
      <c r="I72" s="15">
        <v>1447.83</v>
      </c>
      <c r="J72" s="17">
        <v>9</v>
      </c>
      <c r="K72" s="15">
        <v>110.2</v>
      </c>
      <c r="L72" s="15">
        <f>Table14[[#This Row],[Sales]]-Table14[[#This Row],[Cost]]</f>
        <v>1337.6299999999999</v>
      </c>
    </row>
    <row r="73" spans="1:12" x14ac:dyDescent="0.35">
      <c r="A73" t="s">
        <v>91</v>
      </c>
      <c r="B73" s="6">
        <v>44972</v>
      </c>
      <c r="C73" s="6" t="str">
        <f>TEXT(Table14[[#This Row],[Date]],"YYY")</f>
        <v>2023</v>
      </c>
      <c r="D73" s="6" t="str">
        <f>TEXT(Table14[[#This Row],[Date]],"MMMM")</f>
        <v>February</v>
      </c>
      <c r="E73" s="6" t="str">
        <f>"Q" &amp;ROUNDUP(MONTH(Table14[[#This Row],[Date]])/3,0)</f>
        <v>Q1</v>
      </c>
      <c r="F73" s="4" t="s">
        <v>15</v>
      </c>
      <c r="G73" s="4" t="s">
        <v>16</v>
      </c>
      <c r="H73" s="4" t="s">
        <v>26</v>
      </c>
      <c r="I73" s="15">
        <v>219.42</v>
      </c>
      <c r="J73" s="17">
        <v>7</v>
      </c>
      <c r="K73" s="15">
        <v>21.32</v>
      </c>
      <c r="L73" s="15">
        <f>Table14[[#This Row],[Sales]]-Table14[[#This Row],[Cost]]</f>
        <v>198.1</v>
      </c>
    </row>
    <row r="74" spans="1:12" x14ac:dyDescent="0.35">
      <c r="A74" t="s">
        <v>92</v>
      </c>
      <c r="B74" s="6">
        <v>45299</v>
      </c>
      <c r="C74" s="6" t="str">
        <f>TEXT(Table14[[#This Row],[Date]],"YYY")</f>
        <v>2024</v>
      </c>
      <c r="D74" s="6" t="str">
        <f>TEXT(Table14[[#This Row],[Date]],"MMMM")</f>
        <v>January</v>
      </c>
      <c r="E74" s="6" t="str">
        <f>"Q" &amp;ROUNDUP(MONTH(Table14[[#This Row],[Date]])/3,0)</f>
        <v>Q1</v>
      </c>
      <c r="F74" s="4" t="s">
        <v>25</v>
      </c>
      <c r="G74" s="4" t="s">
        <v>16</v>
      </c>
      <c r="H74" s="4" t="s">
        <v>19</v>
      </c>
      <c r="I74" s="15">
        <v>712.97</v>
      </c>
      <c r="J74" s="17">
        <v>7</v>
      </c>
      <c r="K74" s="15">
        <v>74.58</v>
      </c>
      <c r="L74" s="15">
        <f>Table14[[#This Row],[Sales]]-Table14[[#This Row],[Cost]]</f>
        <v>638.39</v>
      </c>
    </row>
    <row r="75" spans="1:12" x14ac:dyDescent="0.35">
      <c r="A75" t="s">
        <v>93</v>
      </c>
      <c r="B75" s="6">
        <v>45606</v>
      </c>
      <c r="C75" s="6" t="str">
        <f>TEXT(Table14[[#This Row],[Date]],"YYY")</f>
        <v>2024</v>
      </c>
      <c r="D75" s="6" t="str">
        <f>TEXT(Table14[[#This Row],[Date]],"MMMM")</f>
        <v>November</v>
      </c>
      <c r="E75" s="6" t="str">
        <f>"Q" &amp;ROUNDUP(MONTH(Table14[[#This Row],[Date]])/3,0)</f>
        <v>Q4</v>
      </c>
      <c r="F75" s="4" t="s">
        <v>23</v>
      </c>
      <c r="G75" s="4" t="s">
        <v>16</v>
      </c>
      <c r="H75" s="4" t="s">
        <v>26</v>
      </c>
      <c r="I75" s="15">
        <v>1418.79</v>
      </c>
      <c r="J75" s="17">
        <v>2</v>
      </c>
      <c r="K75" s="15">
        <v>581.41</v>
      </c>
      <c r="L75" s="15">
        <f>Table14[[#This Row],[Sales]]-Table14[[#This Row],[Cost]]</f>
        <v>837.38</v>
      </c>
    </row>
    <row r="76" spans="1:12" x14ac:dyDescent="0.35">
      <c r="A76" t="s">
        <v>94</v>
      </c>
      <c r="B76" s="6">
        <v>45261</v>
      </c>
      <c r="C76" s="6" t="str">
        <f>TEXT(Table14[[#This Row],[Date]],"YYY")</f>
        <v>2023</v>
      </c>
      <c r="D76" s="6" t="str">
        <f>TEXT(Table14[[#This Row],[Date]],"MMMM")</f>
        <v>December</v>
      </c>
      <c r="E76" s="6" t="str">
        <f>"Q" &amp;ROUNDUP(MONTH(Table14[[#This Row],[Date]])/3,0)</f>
        <v>Q4</v>
      </c>
      <c r="F76" s="4" t="s">
        <v>23</v>
      </c>
      <c r="G76" s="4" t="s">
        <v>16</v>
      </c>
      <c r="H76" s="4" t="s">
        <v>21</v>
      </c>
      <c r="I76" s="15">
        <v>5216.66</v>
      </c>
      <c r="J76" s="17">
        <v>7</v>
      </c>
      <c r="K76" s="15">
        <v>563.82000000000005</v>
      </c>
      <c r="L76" s="15">
        <f>Table14[[#This Row],[Sales]]-Table14[[#This Row],[Cost]]</f>
        <v>4652.84</v>
      </c>
    </row>
    <row r="77" spans="1:12" x14ac:dyDescent="0.35">
      <c r="A77" t="s">
        <v>95</v>
      </c>
      <c r="B77" s="6">
        <v>45607</v>
      </c>
      <c r="C77" s="6" t="str">
        <f>TEXT(Table14[[#This Row],[Date]],"YYY")</f>
        <v>2024</v>
      </c>
      <c r="D77" s="6" t="str">
        <f>TEXT(Table14[[#This Row],[Date]],"MMMM")</f>
        <v>November</v>
      </c>
      <c r="E77" s="6" t="str">
        <f>"Q" &amp;ROUNDUP(MONTH(Table14[[#This Row],[Date]])/3,0)</f>
        <v>Q4</v>
      </c>
      <c r="F77" s="4" t="s">
        <v>15</v>
      </c>
      <c r="G77" s="4" t="s">
        <v>16</v>
      </c>
      <c r="H77" s="4" t="s">
        <v>21</v>
      </c>
      <c r="I77" s="15">
        <v>5608.04</v>
      </c>
      <c r="J77" s="17">
        <v>7</v>
      </c>
      <c r="K77" s="15">
        <v>548.30999999999995</v>
      </c>
      <c r="L77" s="15">
        <f>Table14[[#This Row],[Sales]]-Table14[[#This Row],[Cost]]</f>
        <v>5059.7299999999996</v>
      </c>
    </row>
    <row r="78" spans="1:12" x14ac:dyDescent="0.35">
      <c r="A78" t="s">
        <v>96</v>
      </c>
      <c r="B78" s="6">
        <v>45342</v>
      </c>
      <c r="C78" s="6" t="str">
        <f>TEXT(Table14[[#This Row],[Date]],"YYY")</f>
        <v>2024</v>
      </c>
      <c r="D78" s="6" t="str">
        <f>TEXT(Table14[[#This Row],[Date]],"MMMM")</f>
        <v>February</v>
      </c>
      <c r="E78" s="6" t="str">
        <f>"Q" &amp;ROUNDUP(MONTH(Table14[[#This Row],[Date]])/3,0)</f>
        <v>Q1</v>
      </c>
      <c r="F78" s="4" t="s">
        <v>25</v>
      </c>
      <c r="G78" s="4" t="s">
        <v>16</v>
      </c>
      <c r="H78" s="4" t="s">
        <v>26</v>
      </c>
      <c r="I78" s="15">
        <v>7369.35</v>
      </c>
      <c r="J78" s="17">
        <v>9</v>
      </c>
      <c r="K78" s="15">
        <v>670.31</v>
      </c>
      <c r="L78" s="15">
        <f>Table14[[#This Row],[Sales]]-Table14[[#This Row],[Cost]]</f>
        <v>6699.0400000000009</v>
      </c>
    </row>
    <row r="79" spans="1:12" x14ac:dyDescent="0.35">
      <c r="A79" t="s">
        <v>97</v>
      </c>
      <c r="B79" s="6">
        <v>45520</v>
      </c>
      <c r="C79" s="6" t="str">
        <f>TEXT(Table14[[#This Row],[Date]],"YYY")</f>
        <v>2024</v>
      </c>
      <c r="D79" s="6" t="str">
        <f>TEXT(Table14[[#This Row],[Date]],"MMMM")</f>
        <v>August</v>
      </c>
      <c r="E79" s="6" t="str">
        <f>"Q" &amp;ROUNDUP(MONTH(Table14[[#This Row],[Date]])/3,0)</f>
        <v>Q3</v>
      </c>
      <c r="F79" s="4" t="s">
        <v>15</v>
      </c>
      <c r="G79" s="4" t="s">
        <v>16</v>
      </c>
      <c r="H79" s="4" t="s">
        <v>21</v>
      </c>
      <c r="I79" s="15">
        <v>6824.39</v>
      </c>
      <c r="J79" s="17">
        <v>10</v>
      </c>
      <c r="K79" s="15">
        <v>530.66999999999996</v>
      </c>
      <c r="L79" s="15">
        <f>Table14[[#This Row],[Sales]]-Table14[[#This Row],[Cost]]</f>
        <v>6293.72</v>
      </c>
    </row>
    <row r="80" spans="1:12" x14ac:dyDescent="0.35">
      <c r="A80" t="s">
        <v>98</v>
      </c>
      <c r="B80" s="6">
        <v>45450</v>
      </c>
      <c r="C80" s="6" t="str">
        <f>TEXT(Table14[[#This Row],[Date]],"YYY")</f>
        <v>2024</v>
      </c>
      <c r="D80" s="6" t="str">
        <f>TEXT(Table14[[#This Row],[Date]],"MMMM")</f>
        <v>June</v>
      </c>
      <c r="E80" s="6" t="str">
        <f>"Q" &amp;ROUNDUP(MONTH(Table14[[#This Row],[Date]])/3,0)</f>
        <v>Q2</v>
      </c>
      <c r="F80" s="4" t="s">
        <v>18</v>
      </c>
      <c r="G80" s="4" t="s">
        <v>10</v>
      </c>
      <c r="H80" s="4" t="s">
        <v>19</v>
      </c>
      <c r="I80" s="15">
        <v>7587.17</v>
      </c>
      <c r="J80" s="17">
        <v>8</v>
      </c>
      <c r="K80" s="15">
        <v>639.11</v>
      </c>
      <c r="L80" s="15">
        <f>Table14[[#This Row],[Sales]]-Table14[[#This Row],[Cost]]</f>
        <v>6948.06</v>
      </c>
    </row>
    <row r="81" spans="1:12" x14ac:dyDescent="0.35">
      <c r="A81" t="s">
        <v>99</v>
      </c>
      <c r="B81" s="6">
        <v>45601</v>
      </c>
      <c r="C81" s="6" t="str">
        <f>TEXT(Table14[[#This Row],[Date]],"YYY")</f>
        <v>2024</v>
      </c>
      <c r="D81" s="6" t="str">
        <f>TEXT(Table14[[#This Row],[Date]],"MMMM")</f>
        <v>November</v>
      </c>
      <c r="E81" s="6" t="str">
        <f>"Q" &amp;ROUNDUP(MONTH(Table14[[#This Row],[Date]])/3,0)</f>
        <v>Q4</v>
      </c>
      <c r="F81" s="4" t="s">
        <v>9</v>
      </c>
      <c r="G81" s="4" t="s">
        <v>10</v>
      </c>
      <c r="H81" s="4" t="s">
        <v>19</v>
      </c>
      <c r="I81" s="15">
        <v>659.15</v>
      </c>
      <c r="J81" s="17">
        <v>2</v>
      </c>
      <c r="K81" s="15">
        <v>241.35</v>
      </c>
      <c r="L81" s="15">
        <f>Table14[[#This Row],[Sales]]-Table14[[#This Row],[Cost]]</f>
        <v>417.79999999999995</v>
      </c>
    </row>
    <row r="82" spans="1:12" x14ac:dyDescent="0.35">
      <c r="A82" t="s">
        <v>100</v>
      </c>
      <c r="B82" s="6">
        <v>45022</v>
      </c>
      <c r="C82" s="6" t="str">
        <f>TEXT(Table14[[#This Row],[Date]],"YYY")</f>
        <v>2023</v>
      </c>
      <c r="D82" s="6" t="str">
        <f>TEXT(Table14[[#This Row],[Date]],"MMMM")</f>
        <v>April</v>
      </c>
      <c r="E82" s="6" t="str">
        <f>"Q" &amp;ROUNDUP(MONTH(Table14[[#This Row],[Date]])/3,0)</f>
        <v>Q2</v>
      </c>
      <c r="F82" s="4" t="s">
        <v>25</v>
      </c>
      <c r="G82" s="4" t="s">
        <v>16</v>
      </c>
      <c r="H82" s="4" t="s">
        <v>26</v>
      </c>
      <c r="I82" s="15">
        <v>2592.84</v>
      </c>
      <c r="J82" s="17">
        <v>4</v>
      </c>
      <c r="K82" s="15">
        <v>544.78</v>
      </c>
      <c r="L82" s="15">
        <f>Table14[[#This Row],[Sales]]-Table14[[#This Row],[Cost]]</f>
        <v>2048.0600000000004</v>
      </c>
    </row>
    <row r="83" spans="1:12" x14ac:dyDescent="0.35">
      <c r="A83" t="s">
        <v>101</v>
      </c>
      <c r="B83" s="6">
        <v>44952</v>
      </c>
      <c r="C83" s="6" t="str">
        <f>TEXT(Table14[[#This Row],[Date]],"YYY")</f>
        <v>2023</v>
      </c>
      <c r="D83" s="6" t="str">
        <f>TEXT(Table14[[#This Row],[Date]],"MMMM")</f>
        <v>January</v>
      </c>
      <c r="E83" s="6" t="str">
        <f>"Q" &amp;ROUNDUP(MONTH(Table14[[#This Row],[Date]])/3,0)</f>
        <v>Q1</v>
      </c>
      <c r="F83" s="4" t="s">
        <v>15</v>
      </c>
      <c r="G83" s="4" t="s">
        <v>16</v>
      </c>
      <c r="H83" s="4" t="s">
        <v>19</v>
      </c>
      <c r="I83" s="15">
        <v>272.18</v>
      </c>
      <c r="J83" s="17">
        <v>1</v>
      </c>
      <c r="K83" s="15">
        <v>210.98</v>
      </c>
      <c r="L83" s="15">
        <f>Table14[[#This Row],[Sales]]-Table14[[#This Row],[Cost]]</f>
        <v>61.200000000000017</v>
      </c>
    </row>
    <row r="84" spans="1:12" x14ac:dyDescent="0.35">
      <c r="A84" t="s">
        <v>102</v>
      </c>
      <c r="B84" s="6">
        <v>45351</v>
      </c>
      <c r="C84" s="6" t="str">
        <f>TEXT(Table14[[#This Row],[Date]],"YYY")</f>
        <v>2024</v>
      </c>
      <c r="D84" s="6" t="str">
        <f>TEXT(Table14[[#This Row],[Date]],"MMMM")</f>
        <v>February</v>
      </c>
      <c r="E84" s="6" t="str">
        <f>"Q" &amp;ROUNDUP(MONTH(Table14[[#This Row],[Date]])/3,0)</f>
        <v>Q1</v>
      </c>
      <c r="F84" s="4" t="s">
        <v>13</v>
      </c>
      <c r="G84" s="4" t="s">
        <v>10</v>
      </c>
      <c r="H84" s="4" t="s">
        <v>21</v>
      </c>
      <c r="I84" s="15">
        <v>2366.4</v>
      </c>
      <c r="J84" s="17">
        <v>10</v>
      </c>
      <c r="K84" s="15">
        <v>171.66</v>
      </c>
      <c r="L84" s="15">
        <f>Table14[[#This Row],[Sales]]-Table14[[#This Row],[Cost]]</f>
        <v>2194.7400000000002</v>
      </c>
    </row>
    <row r="85" spans="1:12" x14ac:dyDescent="0.35">
      <c r="A85" t="s">
        <v>103</v>
      </c>
      <c r="B85" s="6">
        <v>45176</v>
      </c>
      <c r="C85" s="6" t="str">
        <f>TEXT(Table14[[#This Row],[Date]],"YYY")</f>
        <v>2023</v>
      </c>
      <c r="D85" s="6" t="str">
        <f>TEXT(Table14[[#This Row],[Date]],"MMMM")</f>
        <v>September</v>
      </c>
      <c r="E85" s="6" t="str">
        <f>"Q" &amp;ROUNDUP(MONTH(Table14[[#This Row],[Date]])/3,0)</f>
        <v>Q3</v>
      </c>
      <c r="F85" s="4" t="s">
        <v>18</v>
      </c>
      <c r="G85" s="4" t="s">
        <v>10</v>
      </c>
      <c r="H85" s="4" t="s">
        <v>21</v>
      </c>
      <c r="I85" s="15">
        <v>1758.25</v>
      </c>
      <c r="J85" s="17">
        <v>3</v>
      </c>
      <c r="K85" s="15">
        <v>531.73</v>
      </c>
      <c r="L85" s="15">
        <f>Table14[[#This Row],[Sales]]-Table14[[#This Row],[Cost]]</f>
        <v>1226.52</v>
      </c>
    </row>
    <row r="86" spans="1:12" x14ac:dyDescent="0.35">
      <c r="A86" t="s">
        <v>104</v>
      </c>
      <c r="B86" s="6">
        <v>45151</v>
      </c>
      <c r="C86" s="6" t="str">
        <f>TEXT(Table14[[#This Row],[Date]],"YYY")</f>
        <v>2023</v>
      </c>
      <c r="D86" s="6" t="str">
        <f>TEXT(Table14[[#This Row],[Date]],"MMMM")</f>
        <v>August</v>
      </c>
      <c r="E86" s="6" t="str">
        <f>"Q" &amp;ROUNDUP(MONTH(Table14[[#This Row],[Date]])/3,0)</f>
        <v>Q3</v>
      </c>
      <c r="F86" s="4" t="s">
        <v>13</v>
      </c>
      <c r="G86" s="4" t="s">
        <v>10</v>
      </c>
      <c r="H86" s="4" t="s">
        <v>21</v>
      </c>
      <c r="I86" s="15">
        <v>2676.27</v>
      </c>
      <c r="J86" s="17">
        <v>3</v>
      </c>
      <c r="K86" s="15">
        <v>647.21</v>
      </c>
      <c r="L86" s="15">
        <f>Table14[[#This Row],[Sales]]-Table14[[#This Row],[Cost]]</f>
        <v>2029.06</v>
      </c>
    </row>
    <row r="87" spans="1:12" x14ac:dyDescent="0.35">
      <c r="A87" t="s">
        <v>105</v>
      </c>
      <c r="B87" s="6">
        <v>45497</v>
      </c>
      <c r="C87" s="6" t="str">
        <f>TEXT(Table14[[#This Row],[Date]],"YYY")</f>
        <v>2024</v>
      </c>
      <c r="D87" s="6" t="str">
        <f>TEXT(Table14[[#This Row],[Date]],"MMMM")</f>
        <v>July</v>
      </c>
      <c r="E87" s="6" t="str">
        <f>"Q" &amp;ROUNDUP(MONTH(Table14[[#This Row],[Date]])/3,0)</f>
        <v>Q3</v>
      </c>
      <c r="F87" s="4" t="s">
        <v>18</v>
      </c>
      <c r="G87" s="4" t="s">
        <v>10</v>
      </c>
      <c r="H87" s="4" t="s">
        <v>11</v>
      </c>
      <c r="I87" s="15">
        <v>3379.61</v>
      </c>
      <c r="J87" s="17">
        <v>4</v>
      </c>
      <c r="K87" s="15">
        <v>735.63</v>
      </c>
      <c r="L87" s="15">
        <f>Table14[[#This Row],[Sales]]-Table14[[#This Row],[Cost]]</f>
        <v>2643.98</v>
      </c>
    </row>
    <row r="88" spans="1:12" x14ac:dyDescent="0.35">
      <c r="A88" t="s">
        <v>106</v>
      </c>
      <c r="B88" s="6">
        <v>45610</v>
      </c>
      <c r="C88" s="6" t="str">
        <f>TEXT(Table14[[#This Row],[Date]],"YYY")</f>
        <v>2024</v>
      </c>
      <c r="D88" s="6" t="str">
        <f>TEXT(Table14[[#This Row],[Date]],"MMMM")</f>
        <v>November</v>
      </c>
      <c r="E88" s="6" t="str">
        <f>"Q" &amp;ROUNDUP(MONTH(Table14[[#This Row],[Date]])/3,0)</f>
        <v>Q4</v>
      </c>
      <c r="F88" s="4" t="s">
        <v>15</v>
      </c>
      <c r="G88" s="4" t="s">
        <v>16</v>
      </c>
      <c r="H88" s="4" t="s">
        <v>21</v>
      </c>
      <c r="I88" s="15">
        <v>9521.2099999999991</v>
      </c>
      <c r="J88" s="17">
        <v>9</v>
      </c>
      <c r="K88" s="15">
        <v>790.56</v>
      </c>
      <c r="L88" s="15">
        <f>Table14[[#This Row],[Sales]]-Table14[[#This Row],[Cost]]</f>
        <v>8730.65</v>
      </c>
    </row>
    <row r="89" spans="1:12" x14ac:dyDescent="0.35">
      <c r="A89" t="s">
        <v>107</v>
      </c>
      <c r="B89" s="6">
        <v>45488</v>
      </c>
      <c r="C89" s="6" t="str">
        <f>TEXT(Table14[[#This Row],[Date]],"YYY")</f>
        <v>2024</v>
      </c>
      <c r="D89" s="6" t="str">
        <f>TEXT(Table14[[#This Row],[Date]],"MMMM")</f>
        <v>July</v>
      </c>
      <c r="E89" s="6" t="str">
        <f>"Q" &amp;ROUNDUP(MONTH(Table14[[#This Row],[Date]])/3,0)</f>
        <v>Q3</v>
      </c>
      <c r="F89" s="4" t="s">
        <v>18</v>
      </c>
      <c r="G89" s="4" t="s">
        <v>10</v>
      </c>
      <c r="H89" s="4" t="s">
        <v>21</v>
      </c>
      <c r="I89" s="15">
        <v>8047.37</v>
      </c>
      <c r="J89" s="17">
        <v>8</v>
      </c>
      <c r="K89" s="15">
        <v>719.82</v>
      </c>
      <c r="L89" s="15">
        <f>Table14[[#This Row],[Sales]]-Table14[[#This Row],[Cost]]</f>
        <v>7327.55</v>
      </c>
    </row>
    <row r="90" spans="1:12" x14ac:dyDescent="0.35">
      <c r="A90" t="s">
        <v>108</v>
      </c>
      <c r="B90" s="6">
        <v>45192</v>
      </c>
      <c r="C90" s="6" t="str">
        <f>TEXT(Table14[[#This Row],[Date]],"YYY")</f>
        <v>2023</v>
      </c>
      <c r="D90" s="6" t="str">
        <f>TEXT(Table14[[#This Row],[Date]],"MMMM")</f>
        <v>September</v>
      </c>
      <c r="E90" s="6" t="str">
        <f>"Q" &amp;ROUNDUP(MONTH(Table14[[#This Row],[Date]])/3,0)</f>
        <v>Q3</v>
      </c>
      <c r="F90" s="4" t="s">
        <v>18</v>
      </c>
      <c r="G90" s="4" t="s">
        <v>10</v>
      </c>
      <c r="H90" s="4" t="s">
        <v>21</v>
      </c>
      <c r="I90" s="15">
        <v>3269.93</v>
      </c>
      <c r="J90" s="17">
        <v>4</v>
      </c>
      <c r="K90" s="15">
        <v>675.09</v>
      </c>
      <c r="L90" s="15">
        <f>Table14[[#This Row],[Sales]]-Table14[[#This Row],[Cost]]</f>
        <v>2594.8399999999997</v>
      </c>
    </row>
    <row r="91" spans="1:12" x14ac:dyDescent="0.35">
      <c r="A91" t="s">
        <v>109</v>
      </c>
      <c r="B91" s="6">
        <v>45568</v>
      </c>
      <c r="C91" s="6" t="str">
        <f>TEXT(Table14[[#This Row],[Date]],"YYY")</f>
        <v>2024</v>
      </c>
      <c r="D91" s="6" t="str">
        <f>TEXT(Table14[[#This Row],[Date]],"MMMM")</f>
        <v>October</v>
      </c>
      <c r="E91" s="6" t="str">
        <f>"Q" &amp;ROUNDUP(MONTH(Table14[[#This Row],[Date]])/3,0)</f>
        <v>Q4</v>
      </c>
      <c r="F91" s="4" t="s">
        <v>25</v>
      </c>
      <c r="G91" s="4" t="s">
        <v>16</v>
      </c>
      <c r="H91" s="4" t="s">
        <v>21</v>
      </c>
      <c r="I91" s="15">
        <v>1059.47</v>
      </c>
      <c r="J91" s="17">
        <v>4</v>
      </c>
      <c r="K91" s="15">
        <v>234.19</v>
      </c>
      <c r="L91" s="15">
        <f>Table14[[#This Row],[Sales]]-Table14[[#This Row],[Cost]]</f>
        <v>825.28</v>
      </c>
    </row>
    <row r="92" spans="1:12" x14ac:dyDescent="0.35">
      <c r="A92" t="s">
        <v>110</v>
      </c>
      <c r="B92" s="6">
        <v>45205</v>
      </c>
      <c r="C92" s="6" t="str">
        <f>TEXT(Table14[[#This Row],[Date]],"YYY")</f>
        <v>2023</v>
      </c>
      <c r="D92" s="6" t="str">
        <f>TEXT(Table14[[#This Row],[Date]],"MMMM")</f>
        <v>October</v>
      </c>
      <c r="E92" s="6" t="str">
        <f>"Q" &amp;ROUNDUP(MONTH(Table14[[#This Row],[Date]])/3,0)</f>
        <v>Q4</v>
      </c>
      <c r="F92" s="4" t="s">
        <v>23</v>
      </c>
      <c r="G92" s="4" t="s">
        <v>16</v>
      </c>
      <c r="H92" s="4" t="s">
        <v>19</v>
      </c>
      <c r="I92" s="15">
        <v>2127.04</v>
      </c>
      <c r="J92" s="17">
        <v>6</v>
      </c>
      <c r="K92" s="15">
        <v>269.37</v>
      </c>
      <c r="L92" s="15">
        <f>Table14[[#This Row],[Sales]]-Table14[[#This Row],[Cost]]</f>
        <v>1857.67</v>
      </c>
    </row>
    <row r="93" spans="1:12" x14ac:dyDescent="0.35">
      <c r="A93" t="s">
        <v>111</v>
      </c>
      <c r="B93" s="6">
        <v>45163</v>
      </c>
      <c r="C93" s="6" t="str">
        <f>TEXT(Table14[[#This Row],[Date]],"YYY")</f>
        <v>2023</v>
      </c>
      <c r="D93" s="6" t="str">
        <f>TEXT(Table14[[#This Row],[Date]],"MMMM")</f>
        <v>August</v>
      </c>
      <c r="E93" s="6" t="str">
        <f>"Q" &amp;ROUNDUP(MONTH(Table14[[#This Row],[Date]])/3,0)</f>
        <v>Q3</v>
      </c>
      <c r="F93" s="4" t="s">
        <v>15</v>
      </c>
      <c r="G93" s="4" t="s">
        <v>16</v>
      </c>
      <c r="H93" s="4" t="s">
        <v>19</v>
      </c>
      <c r="I93" s="15">
        <v>5432.05</v>
      </c>
      <c r="J93" s="17">
        <v>7</v>
      </c>
      <c r="K93" s="15">
        <v>561.28</v>
      </c>
      <c r="L93" s="15">
        <f>Table14[[#This Row],[Sales]]-Table14[[#This Row],[Cost]]</f>
        <v>4870.7700000000004</v>
      </c>
    </row>
    <row r="94" spans="1:12" x14ac:dyDescent="0.35">
      <c r="A94" t="s">
        <v>112</v>
      </c>
      <c r="B94" s="6">
        <v>45344</v>
      </c>
      <c r="C94" s="6" t="str">
        <f>TEXT(Table14[[#This Row],[Date]],"YYY")</f>
        <v>2024</v>
      </c>
      <c r="D94" s="6" t="str">
        <f>TEXT(Table14[[#This Row],[Date]],"MMMM")</f>
        <v>February</v>
      </c>
      <c r="E94" s="6" t="str">
        <f>"Q" &amp;ROUNDUP(MONTH(Table14[[#This Row],[Date]])/3,0)</f>
        <v>Q1</v>
      </c>
      <c r="F94" s="4" t="s">
        <v>13</v>
      </c>
      <c r="G94" s="4" t="s">
        <v>10</v>
      </c>
      <c r="H94" s="4" t="s">
        <v>21</v>
      </c>
      <c r="I94" s="15">
        <v>3367.67</v>
      </c>
      <c r="J94" s="17">
        <v>6</v>
      </c>
      <c r="K94" s="15">
        <v>443.24</v>
      </c>
      <c r="L94" s="15">
        <f>Table14[[#This Row],[Sales]]-Table14[[#This Row],[Cost]]</f>
        <v>2924.4300000000003</v>
      </c>
    </row>
    <row r="95" spans="1:12" x14ac:dyDescent="0.35">
      <c r="A95" t="s">
        <v>113</v>
      </c>
      <c r="B95" s="6">
        <v>45325</v>
      </c>
      <c r="C95" s="6" t="str">
        <f>TEXT(Table14[[#This Row],[Date]],"YYY")</f>
        <v>2024</v>
      </c>
      <c r="D95" s="6" t="str">
        <f>TEXT(Table14[[#This Row],[Date]],"MMMM")</f>
        <v>February</v>
      </c>
      <c r="E95" s="6" t="str">
        <f>"Q" &amp;ROUNDUP(MONTH(Table14[[#This Row],[Date]])/3,0)</f>
        <v>Q1</v>
      </c>
      <c r="F95" s="4" t="s">
        <v>15</v>
      </c>
      <c r="G95" s="4" t="s">
        <v>16</v>
      </c>
      <c r="H95" s="4" t="s">
        <v>21</v>
      </c>
      <c r="I95" s="15">
        <v>8396.4500000000007</v>
      </c>
      <c r="J95" s="17">
        <v>10</v>
      </c>
      <c r="K95" s="15">
        <v>757.93</v>
      </c>
      <c r="L95" s="15">
        <f>Table14[[#This Row],[Sales]]-Table14[[#This Row],[Cost]]</f>
        <v>7638.52</v>
      </c>
    </row>
    <row r="96" spans="1:12" x14ac:dyDescent="0.35">
      <c r="A96" t="s">
        <v>114</v>
      </c>
      <c r="B96" s="6">
        <v>45415</v>
      </c>
      <c r="C96" s="6" t="str">
        <f>TEXT(Table14[[#This Row],[Date]],"YYY")</f>
        <v>2024</v>
      </c>
      <c r="D96" s="6" t="str">
        <f>TEXT(Table14[[#This Row],[Date]],"MMMM")</f>
        <v>May</v>
      </c>
      <c r="E96" s="6" t="str">
        <f>"Q" &amp;ROUNDUP(MONTH(Table14[[#This Row],[Date]])/3,0)</f>
        <v>Q2</v>
      </c>
      <c r="F96" s="4" t="s">
        <v>25</v>
      </c>
      <c r="G96" s="4" t="s">
        <v>16</v>
      </c>
      <c r="H96" s="4" t="s">
        <v>21</v>
      </c>
      <c r="I96" s="15">
        <v>921.1</v>
      </c>
      <c r="J96" s="17">
        <v>1</v>
      </c>
      <c r="K96" s="15">
        <v>755.34</v>
      </c>
      <c r="L96" s="15">
        <f>Table14[[#This Row],[Sales]]-Table14[[#This Row],[Cost]]</f>
        <v>165.76</v>
      </c>
    </row>
    <row r="97" spans="1:12" x14ac:dyDescent="0.35">
      <c r="A97" t="s">
        <v>115</v>
      </c>
      <c r="B97" s="6">
        <v>45478</v>
      </c>
      <c r="C97" s="6" t="str">
        <f>TEXT(Table14[[#This Row],[Date]],"YYY")</f>
        <v>2024</v>
      </c>
      <c r="D97" s="6" t="str">
        <f>TEXT(Table14[[#This Row],[Date]],"MMMM")</f>
        <v>July</v>
      </c>
      <c r="E97" s="6" t="str">
        <f>"Q" &amp;ROUNDUP(MONTH(Table14[[#This Row],[Date]])/3,0)</f>
        <v>Q3</v>
      </c>
      <c r="F97" s="4" t="s">
        <v>18</v>
      </c>
      <c r="G97" s="4" t="s">
        <v>10</v>
      </c>
      <c r="H97" s="4" t="s">
        <v>21</v>
      </c>
      <c r="I97" s="15">
        <v>8455.77</v>
      </c>
      <c r="J97" s="17">
        <v>9</v>
      </c>
      <c r="K97" s="15">
        <v>643.9</v>
      </c>
      <c r="L97" s="15">
        <f>Table14[[#This Row],[Sales]]-Table14[[#This Row],[Cost]]</f>
        <v>7811.8700000000008</v>
      </c>
    </row>
    <row r="98" spans="1:12" x14ac:dyDescent="0.35">
      <c r="A98" t="s">
        <v>116</v>
      </c>
      <c r="B98" s="6">
        <v>45206</v>
      </c>
      <c r="C98" s="6" t="str">
        <f>TEXT(Table14[[#This Row],[Date]],"YYY")</f>
        <v>2023</v>
      </c>
      <c r="D98" s="6" t="str">
        <f>TEXT(Table14[[#This Row],[Date]],"MMMM")</f>
        <v>October</v>
      </c>
      <c r="E98" s="6" t="str">
        <f>"Q" &amp;ROUNDUP(MONTH(Table14[[#This Row],[Date]])/3,0)</f>
        <v>Q4</v>
      </c>
      <c r="F98" s="4" t="s">
        <v>18</v>
      </c>
      <c r="G98" s="4" t="s">
        <v>10</v>
      </c>
      <c r="H98" s="4" t="s">
        <v>19</v>
      </c>
      <c r="I98" s="15">
        <v>3504.97</v>
      </c>
      <c r="J98" s="17">
        <v>7</v>
      </c>
      <c r="K98" s="15">
        <v>398.8</v>
      </c>
      <c r="L98" s="15">
        <f>Table14[[#This Row],[Sales]]-Table14[[#This Row],[Cost]]</f>
        <v>3106.1699999999996</v>
      </c>
    </row>
    <row r="99" spans="1:12" x14ac:dyDescent="0.35">
      <c r="A99" t="s">
        <v>117</v>
      </c>
      <c r="B99" s="6">
        <v>45096</v>
      </c>
      <c r="C99" s="6" t="str">
        <f>TEXT(Table14[[#This Row],[Date]],"YYY")</f>
        <v>2023</v>
      </c>
      <c r="D99" s="6" t="str">
        <f>TEXT(Table14[[#This Row],[Date]],"MMMM")</f>
        <v>June</v>
      </c>
      <c r="E99" s="6" t="str">
        <f>"Q" &amp;ROUNDUP(MONTH(Table14[[#This Row],[Date]])/3,0)</f>
        <v>Q2</v>
      </c>
      <c r="F99" s="4" t="s">
        <v>9</v>
      </c>
      <c r="G99" s="4" t="s">
        <v>10</v>
      </c>
      <c r="H99" s="4" t="s">
        <v>21</v>
      </c>
      <c r="I99" s="15">
        <v>8801.4</v>
      </c>
      <c r="J99" s="17">
        <v>8</v>
      </c>
      <c r="K99" s="15">
        <v>737.24</v>
      </c>
      <c r="L99" s="15">
        <f>Table14[[#This Row],[Sales]]-Table14[[#This Row],[Cost]]</f>
        <v>8064.16</v>
      </c>
    </row>
    <row r="100" spans="1:12" x14ac:dyDescent="0.35">
      <c r="A100" t="s">
        <v>118</v>
      </c>
      <c r="B100" s="6">
        <v>45330</v>
      </c>
      <c r="C100" s="6" t="str">
        <f>TEXT(Table14[[#This Row],[Date]],"YYY")</f>
        <v>2024</v>
      </c>
      <c r="D100" s="6" t="str">
        <f>TEXT(Table14[[#This Row],[Date]],"MMMM")</f>
        <v>February</v>
      </c>
      <c r="E100" s="6" t="str">
        <f>"Q" &amp;ROUNDUP(MONTH(Table14[[#This Row],[Date]])/3,0)</f>
        <v>Q1</v>
      </c>
      <c r="F100" s="4" t="s">
        <v>25</v>
      </c>
      <c r="G100" s="4" t="s">
        <v>16</v>
      </c>
      <c r="H100" s="4" t="s">
        <v>11</v>
      </c>
      <c r="I100" s="15">
        <v>5112.42</v>
      </c>
      <c r="J100" s="17">
        <v>10</v>
      </c>
      <c r="K100" s="15">
        <v>460.23</v>
      </c>
      <c r="L100" s="15">
        <f>Table14[[#This Row],[Sales]]-Table14[[#This Row],[Cost]]</f>
        <v>4652.1900000000005</v>
      </c>
    </row>
    <row r="101" spans="1:12" x14ac:dyDescent="0.35">
      <c r="A101" t="s">
        <v>119</v>
      </c>
      <c r="B101" s="6">
        <v>45065</v>
      </c>
      <c r="C101" s="6" t="str">
        <f>TEXT(Table14[[#This Row],[Date]],"YYY")</f>
        <v>2023</v>
      </c>
      <c r="D101" s="6" t="str">
        <f>TEXT(Table14[[#This Row],[Date]],"MMMM")</f>
        <v>May</v>
      </c>
      <c r="E101" s="6" t="str">
        <f>"Q" &amp;ROUNDUP(MONTH(Table14[[#This Row],[Date]])/3,0)</f>
        <v>Q2</v>
      </c>
      <c r="F101" s="4" t="s">
        <v>9</v>
      </c>
      <c r="G101" s="4" t="s">
        <v>10</v>
      </c>
      <c r="H101" s="4" t="s">
        <v>21</v>
      </c>
      <c r="I101" s="15">
        <v>1558.06</v>
      </c>
      <c r="J101" s="17">
        <v>8</v>
      </c>
      <c r="K101" s="15">
        <v>161.75</v>
      </c>
      <c r="L101" s="15">
        <f>Table14[[#This Row],[Sales]]-Table14[[#This Row],[Cost]]</f>
        <v>1396.31</v>
      </c>
    </row>
    <row r="102" spans="1:12" x14ac:dyDescent="0.35">
      <c r="A102" t="s">
        <v>120</v>
      </c>
      <c r="B102" s="6">
        <v>45392</v>
      </c>
      <c r="C102" s="6" t="str">
        <f>TEXT(Table14[[#This Row],[Date]],"YYY")</f>
        <v>2024</v>
      </c>
      <c r="D102" s="6" t="str">
        <f>TEXT(Table14[[#This Row],[Date]],"MMMM")</f>
        <v>April</v>
      </c>
      <c r="E102" s="6" t="str">
        <f>"Q" &amp;ROUNDUP(MONTH(Table14[[#This Row],[Date]])/3,0)</f>
        <v>Q2</v>
      </c>
      <c r="F102" s="4" t="s">
        <v>23</v>
      </c>
      <c r="G102" s="4" t="s">
        <v>16</v>
      </c>
      <c r="H102" s="4" t="s">
        <v>19</v>
      </c>
      <c r="I102" s="15">
        <v>2467.4299999999998</v>
      </c>
      <c r="J102" s="17">
        <v>6</v>
      </c>
      <c r="K102" s="15">
        <v>283.25</v>
      </c>
      <c r="L102" s="15">
        <f>Table14[[#This Row],[Sales]]-Table14[[#This Row],[Cost]]</f>
        <v>2184.1799999999998</v>
      </c>
    </row>
    <row r="103" spans="1:12" x14ac:dyDescent="0.35">
      <c r="A103" t="s">
        <v>121</v>
      </c>
      <c r="B103" s="6">
        <v>45185</v>
      </c>
      <c r="C103" s="6" t="str">
        <f>TEXT(Table14[[#This Row],[Date]],"YYY")</f>
        <v>2023</v>
      </c>
      <c r="D103" s="6" t="str">
        <f>TEXT(Table14[[#This Row],[Date]],"MMMM")</f>
        <v>September</v>
      </c>
      <c r="E103" s="6" t="str">
        <f>"Q" &amp;ROUNDUP(MONTH(Table14[[#This Row],[Date]])/3,0)</f>
        <v>Q3</v>
      </c>
      <c r="F103" s="4" t="s">
        <v>23</v>
      </c>
      <c r="G103" s="4" t="s">
        <v>16</v>
      </c>
      <c r="H103" s="4" t="s">
        <v>21</v>
      </c>
      <c r="I103" s="15">
        <v>1082.8499999999999</v>
      </c>
      <c r="J103" s="17">
        <v>2</v>
      </c>
      <c r="K103" s="15">
        <v>386.84</v>
      </c>
      <c r="L103" s="15">
        <f>Table14[[#This Row],[Sales]]-Table14[[#This Row],[Cost]]</f>
        <v>696.01</v>
      </c>
    </row>
    <row r="104" spans="1:12" x14ac:dyDescent="0.35">
      <c r="A104" t="s">
        <v>122</v>
      </c>
      <c r="B104" s="6">
        <v>45156</v>
      </c>
      <c r="C104" s="6" t="str">
        <f>TEXT(Table14[[#This Row],[Date]],"YYY")</f>
        <v>2023</v>
      </c>
      <c r="D104" s="6" t="str">
        <f>TEXT(Table14[[#This Row],[Date]],"MMMM")</f>
        <v>August</v>
      </c>
      <c r="E104" s="6" t="str">
        <f>"Q" &amp;ROUNDUP(MONTH(Table14[[#This Row],[Date]])/3,0)</f>
        <v>Q3</v>
      </c>
      <c r="F104" s="4" t="s">
        <v>13</v>
      </c>
      <c r="G104" s="4" t="s">
        <v>10</v>
      </c>
      <c r="H104" s="4" t="s">
        <v>26</v>
      </c>
      <c r="I104" s="15">
        <v>1712.74</v>
      </c>
      <c r="J104" s="17">
        <v>2</v>
      </c>
      <c r="K104" s="15">
        <v>629.36</v>
      </c>
      <c r="L104" s="15">
        <f>Table14[[#This Row],[Sales]]-Table14[[#This Row],[Cost]]</f>
        <v>1083.3800000000001</v>
      </c>
    </row>
    <row r="105" spans="1:12" x14ac:dyDescent="0.35">
      <c r="A105" t="s">
        <v>123</v>
      </c>
      <c r="B105" s="6">
        <v>45131</v>
      </c>
      <c r="C105" s="6" t="str">
        <f>TEXT(Table14[[#This Row],[Date]],"YYY")</f>
        <v>2023</v>
      </c>
      <c r="D105" s="6" t="str">
        <f>TEXT(Table14[[#This Row],[Date]],"MMMM")</f>
        <v>July</v>
      </c>
      <c r="E105" s="6" t="str">
        <f>"Q" &amp;ROUNDUP(MONTH(Table14[[#This Row],[Date]])/3,0)</f>
        <v>Q3</v>
      </c>
      <c r="F105" s="4" t="s">
        <v>13</v>
      </c>
      <c r="G105" s="4" t="s">
        <v>10</v>
      </c>
      <c r="H105" s="4" t="s">
        <v>19</v>
      </c>
      <c r="I105" s="15">
        <v>603.26</v>
      </c>
      <c r="J105" s="17">
        <v>1</v>
      </c>
      <c r="K105" s="15">
        <v>504.64</v>
      </c>
      <c r="L105" s="15">
        <f>Table14[[#This Row],[Sales]]-Table14[[#This Row],[Cost]]</f>
        <v>98.62</v>
      </c>
    </row>
    <row r="106" spans="1:12" x14ac:dyDescent="0.35">
      <c r="A106" t="s">
        <v>124</v>
      </c>
      <c r="B106" s="6">
        <v>45504</v>
      </c>
      <c r="C106" s="6" t="str">
        <f>TEXT(Table14[[#This Row],[Date]],"YYY")</f>
        <v>2024</v>
      </c>
      <c r="D106" s="6" t="str">
        <f>TEXT(Table14[[#This Row],[Date]],"MMMM")</f>
        <v>July</v>
      </c>
      <c r="E106" s="6" t="str">
        <f>"Q" &amp;ROUNDUP(MONTH(Table14[[#This Row],[Date]])/3,0)</f>
        <v>Q3</v>
      </c>
      <c r="F106" s="4" t="s">
        <v>18</v>
      </c>
      <c r="G106" s="4" t="s">
        <v>10</v>
      </c>
      <c r="H106" s="4" t="s">
        <v>11</v>
      </c>
      <c r="I106" s="15">
        <v>1840.93</v>
      </c>
      <c r="J106" s="17">
        <v>4</v>
      </c>
      <c r="K106" s="15">
        <v>382.73</v>
      </c>
      <c r="L106" s="15">
        <f>Table14[[#This Row],[Sales]]-Table14[[#This Row],[Cost]]</f>
        <v>1458.2</v>
      </c>
    </row>
    <row r="107" spans="1:12" x14ac:dyDescent="0.35">
      <c r="A107" t="s">
        <v>125</v>
      </c>
      <c r="B107" s="6">
        <v>45547</v>
      </c>
      <c r="C107" s="6" t="str">
        <f>TEXT(Table14[[#This Row],[Date]],"YYY")</f>
        <v>2024</v>
      </c>
      <c r="D107" s="6" t="str">
        <f>TEXT(Table14[[#This Row],[Date]],"MMMM")</f>
        <v>September</v>
      </c>
      <c r="E107" s="6" t="str">
        <f>"Q" &amp;ROUNDUP(MONTH(Table14[[#This Row],[Date]])/3,0)</f>
        <v>Q3</v>
      </c>
      <c r="F107" s="4" t="s">
        <v>23</v>
      </c>
      <c r="G107" s="4" t="s">
        <v>16</v>
      </c>
      <c r="H107" s="4" t="s">
        <v>19</v>
      </c>
      <c r="I107" s="15">
        <v>10706.26</v>
      </c>
      <c r="J107" s="17">
        <v>10</v>
      </c>
      <c r="K107" s="15">
        <v>771.71</v>
      </c>
      <c r="L107" s="15">
        <f>Table14[[#This Row],[Sales]]-Table14[[#This Row],[Cost]]</f>
        <v>9934.5499999999993</v>
      </c>
    </row>
    <row r="108" spans="1:12" x14ac:dyDescent="0.35">
      <c r="A108" t="s">
        <v>126</v>
      </c>
      <c r="B108" s="6">
        <v>45037</v>
      </c>
      <c r="C108" s="6" t="str">
        <f>TEXT(Table14[[#This Row],[Date]],"YYY")</f>
        <v>2023</v>
      </c>
      <c r="D108" s="6" t="str">
        <f>TEXT(Table14[[#This Row],[Date]],"MMMM")</f>
        <v>April</v>
      </c>
      <c r="E108" s="6" t="str">
        <f>"Q" &amp;ROUNDUP(MONTH(Table14[[#This Row],[Date]])/3,0)</f>
        <v>Q2</v>
      </c>
      <c r="F108" s="4" t="s">
        <v>15</v>
      </c>
      <c r="G108" s="4" t="s">
        <v>16</v>
      </c>
      <c r="H108" s="4" t="s">
        <v>26</v>
      </c>
      <c r="I108" s="15">
        <v>490.28</v>
      </c>
      <c r="J108" s="17">
        <v>10</v>
      </c>
      <c r="K108" s="15">
        <v>40.03</v>
      </c>
      <c r="L108" s="15">
        <f>Table14[[#This Row],[Sales]]-Table14[[#This Row],[Cost]]</f>
        <v>450.25</v>
      </c>
    </row>
    <row r="109" spans="1:12" x14ac:dyDescent="0.35">
      <c r="A109" t="s">
        <v>127</v>
      </c>
      <c r="B109" s="6">
        <v>45333</v>
      </c>
      <c r="C109" s="6" t="str">
        <f>TEXT(Table14[[#This Row],[Date]],"YYY")</f>
        <v>2024</v>
      </c>
      <c r="D109" s="6" t="str">
        <f>TEXT(Table14[[#This Row],[Date]],"MMMM")</f>
        <v>February</v>
      </c>
      <c r="E109" s="6" t="str">
        <f>"Q" &amp;ROUNDUP(MONTH(Table14[[#This Row],[Date]])/3,0)</f>
        <v>Q1</v>
      </c>
      <c r="F109" s="4" t="s">
        <v>9</v>
      </c>
      <c r="G109" s="4" t="s">
        <v>10</v>
      </c>
      <c r="H109" s="4" t="s">
        <v>21</v>
      </c>
      <c r="I109" s="15">
        <v>436.44</v>
      </c>
      <c r="J109" s="17">
        <v>4</v>
      </c>
      <c r="K109" s="15">
        <v>79.28</v>
      </c>
      <c r="L109" s="15">
        <f>Table14[[#This Row],[Sales]]-Table14[[#This Row],[Cost]]</f>
        <v>357.15999999999997</v>
      </c>
    </row>
    <row r="110" spans="1:12" x14ac:dyDescent="0.35">
      <c r="A110" t="s">
        <v>128</v>
      </c>
      <c r="B110" s="6">
        <v>45031</v>
      </c>
      <c r="C110" s="6" t="str">
        <f>TEXT(Table14[[#This Row],[Date]],"YYY")</f>
        <v>2023</v>
      </c>
      <c r="D110" s="6" t="str">
        <f>TEXT(Table14[[#This Row],[Date]],"MMMM")</f>
        <v>April</v>
      </c>
      <c r="E110" s="6" t="str">
        <f>"Q" &amp;ROUNDUP(MONTH(Table14[[#This Row],[Date]])/3,0)</f>
        <v>Q2</v>
      </c>
      <c r="F110" s="4" t="s">
        <v>9</v>
      </c>
      <c r="G110" s="4" t="s">
        <v>10</v>
      </c>
      <c r="H110" s="4" t="s">
        <v>19</v>
      </c>
      <c r="I110" s="15">
        <v>4578.2</v>
      </c>
      <c r="J110" s="17">
        <v>5</v>
      </c>
      <c r="K110" s="15">
        <v>683.23</v>
      </c>
      <c r="L110" s="15">
        <f>Table14[[#This Row],[Sales]]-Table14[[#This Row],[Cost]]</f>
        <v>3894.97</v>
      </c>
    </row>
    <row r="111" spans="1:12" x14ac:dyDescent="0.35">
      <c r="A111" t="s">
        <v>129</v>
      </c>
      <c r="B111" s="6">
        <v>45282</v>
      </c>
      <c r="C111" s="6" t="str">
        <f>TEXT(Table14[[#This Row],[Date]],"YYY")</f>
        <v>2023</v>
      </c>
      <c r="D111" s="6" t="str">
        <f>TEXT(Table14[[#This Row],[Date]],"MMMM")</f>
        <v>December</v>
      </c>
      <c r="E111" s="6" t="str">
        <f>"Q" &amp;ROUNDUP(MONTH(Table14[[#This Row],[Date]])/3,0)</f>
        <v>Q4</v>
      </c>
      <c r="F111" s="4" t="s">
        <v>13</v>
      </c>
      <c r="G111" s="4" t="s">
        <v>10</v>
      </c>
      <c r="H111" s="4" t="s">
        <v>11</v>
      </c>
      <c r="I111" s="15">
        <v>3978.32</v>
      </c>
      <c r="J111" s="17">
        <v>9</v>
      </c>
      <c r="K111" s="15">
        <v>354.13</v>
      </c>
      <c r="L111" s="15">
        <f>Table14[[#This Row],[Sales]]-Table14[[#This Row],[Cost]]</f>
        <v>3624.19</v>
      </c>
    </row>
    <row r="112" spans="1:12" x14ac:dyDescent="0.35">
      <c r="A112" t="s">
        <v>130</v>
      </c>
      <c r="B112" s="6">
        <v>44939</v>
      </c>
      <c r="C112" s="6" t="str">
        <f>TEXT(Table14[[#This Row],[Date]],"YYY")</f>
        <v>2023</v>
      </c>
      <c r="D112" s="6" t="str">
        <f>TEXT(Table14[[#This Row],[Date]],"MMMM")</f>
        <v>January</v>
      </c>
      <c r="E112" s="6" t="str">
        <f>"Q" &amp;ROUNDUP(MONTH(Table14[[#This Row],[Date]])/3,0)</f>
        <v>Q1</v>
      </c>
      <c r="F112" s="4" t="s">
        <v>25</v>
      </c>
      <c r="G112" s="4" t="s">
        <v>16</v>
      </c>
      <c r="H112" s="4" t="s">
        <v>26</v>
      </c>
      <c r="I112" s="15">
        <v>5288.39</v>
      </c>
      <c r="J112" s="17">
        <v>7</v>
      </c>
      <c r="K112" s="15">
        <v>661.42</v>
      </c>
      <c r="L112" s="15">
        <f>Table14[[#This Row],[Sales]]-Table14[[#This Row],[Cost]]</f>
        <v>4626.97</v>
      </c>
    </row>
    <row r="113" spans="1:12" x14ac:dyDescent="0.35">
      <c r="A113" t="s">
        <v>131</v>
      </c>
      <c r="B113" s="6">
        <v>45651</v>
      </c>
      <c r="C113" s="6" t="str">
        <f>TEXT(Table14[[#This Row],[Date]],"YYY")</f>
        <v>2024</v>
      </c>
      <c r="D113" s="6" t="str">
        <f>TEXT(Table14[[#This Row],[Date]],"MMMM")</f>
        <v>December</v>
      </c>
      <c r="E113" s="6" t="str">
        <f>"Q" &amp;ROUNDUP(MONTH(Table14[[#This Row],[Date]])/3,0)</f>
        <v>Q4</v>
      </c>
      <c r="F113" s="4" t="s">
        <v>23</v>
      </c>
      <c r="G113" s="4" t="s">
        <v>16</v>
      </c>
      <c r="H113" s="4" t="s">
        <v>21</v>
      </c>
      <c r="I113" s="15">
        <v>1503.66</v>
      </c>
      <c r="J113" s="17">
        <v>3</v>
      </c>
      <c r="K113" s="15">
        <v>359.68</v>
      </c>
      <c r="L113" s="15">
        <f>Table14[[#This Row],[Sales]]-Table14[[#This Row],[Cost]]</f>
        <v>1143.98</v>
      </c>
    </row>
    <row r="114" spans="1:12" x14ac:dyDescent="0.35">
      <c r="A114" t="s">
        <v>132</v>
      </c>
      <c r="B114" s="6">
        <v>45557</v>
      </c>
      <c r="C114" s="6" t="str">
        <f>TEXT(Table14[[#This Row],[Date]],"YYY")</f>
        <v>2024</v>
      </c>
      <c r="D114" s="6" t="str">
        <f>TEXT(Table14[[#This Row],[Date]],"MMMM")</f>
        <v>September</v>
      </c>
      <c r="E114" s="6" t="str">
        <f>"Q" &amp;ROUNDUP(MONTH(Table14[[#This Row],[Date]])/3,0)</f>
        <v>Q3</v>
      </c>
      <c r="F114" s="4" t="s">
        <v>9</v>
      </c>
      <c r="G114" s="4" t="s">
        <v>10</v>
      </c>
      <c r="H114" s="4" t="s">
        <v>26</v>
      </c>
      <c r="I114" s="15">
        <v>7224.44</v>
      </c>
      <c r="J114" s="17">
        <v>9</v>
      </c>
      <c r="K114" s="15">
        <v>624.22</v>
      </c>
      <c r="L114" s="15">
        <f>Table14[[#This Row],[Sales]]-Table14[[#This Row],[Cost]]</f>
        <v>6600.2199999999993</v>
      </c>
    </row>
    <row r="115" spans="1:12" x14ac:dyDescent="0.35">
      <c r="A115" t="s">
        <v>133</v>
      </c>
      <c r="B115" s="6">
        <v>45257</v>
      </c>
      <c r="C115" s="6" t="str">
        <f>TEXT(Table14[[#This Row],[Date]],"YYY")</f>
        <v>2023</v>
      </c>
      <c r="D115" s="6" t="str">
        <f>TEXT(Table14[[#This Row],[Date]],"MMMM")</f>
        <v>November</v>
      </c>
      <c r="E115" s="6" t="str">
        <f>"Q" &amp;ROUNDUP(MONTH(Table14[[#This Row],[Date]])/3,0)</f>
        <v>Q4</v>
      </c>
      <c r="F115" s="4" t="s">
        <v>9</v>
      </c>
      <c r="G115" s="4" t="s">
        <v>10</v>
      </c>
      <c r="H115" s="4" t="s">
        <v>26</v>
      </c>
      <c r="I115" s="15">
        <v>3031.69</v>
      </c>
      <c r="J115" s="17">
        <v>4</v>
      </c>
      <c r="K115" s="15">
        <v>667.97</v>
      </c>
      <c r="L115" s="15">
        <f>Table14[[#This Row],[Sales]]-Table14[[#This Row],[Cost]]</f>
        <v>2363.7200000000003</v>
      </c>
    </row>
    <row r="116" spans="1:12" x14ac:dyDescent="0.35">
      <c r="A116" t="s">
        <v>134</v>
      </c>
      <c r="B116" s="6">
        <v>45402</v>
      </c>
      <c r="C116" s="6" t="str">
        <f>TEXT(Table14[[#This Row],[Date]],"YYY")</f>
        <v>2024</v>
      </c>
      <c r="D116" s="6" t="str">
        <f>TEXT(Table14[[#This Row],[Date]],"MMMM")</f>
        <v>April</v>
      </c>
      <c r="E116" s="6" t="str">
        <f>"Q" &amp;ROUNDUP(MONTH(Table14[[#This Row],[Date]])/3,0)</f>
        <v>Q2</v>
      </c>
      <c r="F116" s="4" t="s">
        <v>18</v>
      </c>
      <c r="G116" s="4" t="s">
        <v>10</v>
      </c>
      <c r="H116" s="4" t="s">
        <v>19</v>
      </c>
      <c r="I116" s="15">
        <v>6208.67</v>
      </c>
      <c r="J116" s="17">
        <v>10</v>
      </c>
      <c r="K116" s="15">
        <v>496.06</v>
      </c>
      <c r="L116" s="15">
        <f>Table14[[#This Row],[Sales]]-Table14[[#This Row],[Cost]]</f>
        <v>5712.61</v>
      </c>
    </row>
    <row r="117" spans="1:12" x14ac:dyDescent="0.35">
      <c r="A117" t="s">
        <v>135</v>
      </c>
      <c r="B117" s="6">
        <v>45259</v>
      </c>
      <c r="C117" s="6" t="str">
        <f>TEXT(Table14[[#This Row],[Date]],"YYY")</f>
        <v>2023</v>
      </c>
      <c r="D117" s="6" t="str">
        <f>TEXT(Table14[[#This Row],[Date]],"MMMM")</f>
        <v>November</v>
      </c>
      <c r="E117" s="6" t="str">
        <f>"Q" &amp;ROUNDUP(MONTH(Table14[[#This Row],[Date]])/3,0)</f>
        <v>Q4</v>
      </c>
      <c r="F117" s="4" t="s">
        <v>13</v>
      </c>
      <c r="G117" s="4" t="s">
        <v>10</v>
      </c>
      <c r="H117" s="4" t="s">
        <v>21</v>
      </c>
      <c r="I117" s="15">
        <v>1491.4</v>
      </c>
      <c r="J117" s="17">
        <v>3</v>
      </c>
      <c r="K117" s="15">
        <v>400.29</v>
      </c>
      <c r="L117" s="15">
        <f>Table14[[#This Row],[Sales]]-Table14[[#This Row],[Cost]]</f>
        <v>1091.1100000000001</v>
      </c>
    </row>
    <row r="118" spans="1:12" x14ac:dyDescent="0.35">
      <c r="A118" t="s">
        <v>136</v>
      </c>
      <c r="B118" s="6">
        <v>45213</v>
      </c>
      <c r="C118" s="6" t="str">
        <f>TEXT(Table14[[#This Row],[Date]],"YYY")</f>
        <v>2023</v>
      </c>
      <c r="D118" s="6" t="str">
        <f>TEXT(Table14[[#This Row],[Date]],"MMMM")</f>
        <v>October</v>
      </c>
      <c r="E118" s="6" t="str">
        <f>"Q" &amp;ROUNDUP(MONTH(Table14[[#This Row],[Date]])/3,0)</f>
        <v>Q4</v>
      </c>
      <c r="F118" s="4" t="s">
        <v>23</v>
      </c>
      <c r="G118" s="4" t="s">
        <v>16</v>
      </c>
      <c r="H118" s="4" t="s">
        <v>26</v>
      </c>
      <c r="I118" s="15">
        <v>6862.61</v>
      </c>
      <c r="J118" s="17">
        <v>10</v>
      </c>
      <c r="K118" s="15">
        <v>566.91999999999996</v>
      </c>
      <c r="L118" s="15">
        <f>Table14[[#This Row],[Sales]]-Table14[[#This Row],[Cost]]</f>
        <v>6295.69</v>
      </c>
    </row>
    <row r="119" spans="1:12" x14ac:dyDescent="0.35">
      <c r="A119" t="s">
        <v>137</v>
      </c>
      <c r="B119" s="6">
        <v>45014</v>
      </c>
      <c r="C119" s="6" t="str">
        <f>TEXT(Table14[[#This Row],[Date]],"YYY")</f>
        <v>2023</v>
      </c>
      <c r="D119" s="6" t="str">
        <f>TEXT(Table14[[#This Row],[Date]],"MMMM")</f>
        <v>March</v>
      </c>
      <c r="E119" s="6" t="str">
        <f>"Q" &amp;ROUNDUP(MONTH(Table14[[#This Row],[Date]])/3,0)</f>
        <v>Q1</v>
      </c>
      <c r="F119" s="4" t="s">
        <v>13</v>
      </c>
      <c r="G119" s="4" t="s">
        <v>10</v>
      </c>
      <c r="H119" s="4" t="s">
        <v>19</v>
      </c>
      <c r="I119" s="15">
        <v>3014</v>
      </c>
      <c r="J119" s="17">
        <v>4</v>
      </c>
      <c r="K119" s="15">
        <v>581.66</v>
      </c>
      <c r="L119" s="15">
        <f>Table14[[#This Row],[Sales]]-Table14[[#This Row],[Cost]]</f>
        <v>2432.34</v>
      </c>
    </row>
    <row r="120" spans="1:12" x14ac:dyDescent="0.35">
      <c r="A120" t="s">
        <v>138</v>
      </c>
      <c r="B120" s="6">
        <v>45588</v>
      </c>
      <c r="C120" s="6" t="str">
        <f>TEXT(Table14[[#This Row],[Date]],"YYY")</f>
        <v>2024</v>
      </c>
      <c r="D120" s="6" t="str">
        <f>TEXT(Table14[[#This Row],[Date]],"MMMM")</f>
        <v>October</v>
      </c>
      <c r="E120" s="6" t="str">
        <f>"Q" &amp;ROUNDUP(MONTH(Table14[[#This Row],[Date]])/3,0)</f>
        <v>Q4</v>
      </c>
      <c r="F120" s="4" t="s">
        <v>15</v>
      </c>
      <c r="G120" s="4" t="s">
        <v>16</v>
      </c>
      <c r="H120" s="4" t="s">
        <v>21</v>
      </c>
      <c r="I120" s="15">
        <v>3272.7</v>
      </c>
      <c r="J120" s="17">
        <v>8</v>
      </c>
      <c r="K120" s="15">
        <v>369.58</v>
      </c>
      <c r="L120" s="15">
        <f>Table14[[#This Row],[Sales]]-Table14[[#This Row],[Cost]]</f>
        <v>2903.12</v>
      </c>
    </row>
    <row r="121" spans="1:12" x14ac:dyDescent="0.35">
      <c r="A121" t="s">
        <v>139</v>
      </c>
      <c r="B121" s="6">
        <v>45341</v>
      </c>
      <c r="C121" s="6" t="str">
        <f>TEXT(Table14[[#This Row],[Date]],"YYY")</f>
        <v>2024</v>
      </c>
      <c r="D121" s="6" t="str">
        <f>TEXT(Table14[[#This Row],[Date]],"MMMM")</f>
        <v>February</v>
      </c>
      <c r="E121" s="6" t="str">
        <f>"Q" &amp;ROUNDUP(MONTH(Table14[[#This Row],[Date]])/3,0)</f>
        <v>Q1</v>
      </c>
      <c r="F121" s="4" t="s">
        <v>23</v>
      </c>
      <c r="G121" s="4" t="s">
        <v>16</v>
      </c>
      <c r="H121" s="4" t="s">
        <v>19</v>
      </c>
      <c r="I121" s="15">
        <v>1379.74</v>
      </c>
      <c r="J121" s="17">
        <v>4</v>
      </c>
      <c r="K121" s="15">
        <v>258.83999999999997</v>
      </c>
      <c r="L121" s="15">
        <f>Table14[[#This Row],[Sales]]-Table14[[#This Row],[Cost]]</f>
        <v>1120.9000000000001</v>
      </c>
    </row>
    <row r="122" spans="1:12" x14ac:dyDescent="0.35">
      <c r="A122" t="s">
        <v>140</v>
      </c>
      <c r="B122" s="6">
        <v>45362</v>
      </c>
      <c r="C122" s="6" t="str">
        <f>TEXT(Table14[[#This Row],[Date]],"YYY")</f>
        <v>2024</v>
      </c>
      <c r="D122" s="6" t="str">
        <f>TEXT(Table14[[#This Row],[Date]],"MMMM")</f>
        <v>March</v>
      </c>
      <c r="E122" s="6" t="str">
        <f>"Q" &amp;ROUNDUP(MONTH(Table14[[#This Row],[Date]])/3,0)</f>
        <v>Q1</v>
      </c>
      <c r="F122" s="4" t="s">
        <v>18</v>
      </c>
      <c r="G122" s="4" t="s">
        <v>10</v>
      </c>
      <c r="H122" s="4" t="s">
        <v>26</v>
      </c>
      <c r="I122" s="15">
        <v>3455.87</v>
      </c>
      <c r="J122" s="17">
        <v>9</v>
      </c>
      <c r="K122" s="15">
        <v>278.02</v>
      </c>
      <c r="L122" s="15">
        <f>Table14[[#This Row],[Sales]]-Table14[[#This Row],[Cost]]</f>
        <v>3177.85</v>
      </c>
    </row>
    <row r="123" spans="1:12" x14ac:dyDescent="0.35">
      <c r="A123" t="s">
        <v>141</v>
      </c>
      <c r="B123" s="6">
        <v>45184</v>
      </c>
      <c r="C123" s="6" t="str">
        <f>TEXT(Table14[[#This Row],[Date]],"YYY")</f>
        <v>2023</v>
      </c>
      <c r="D123" s="6" t="str">
        <f>TEXT(Table14[[#This Row],[Date]],"MMMM")</f>
        <v>September</v>
      </c>
      <c r="E123" s="6" t="str">
        <f>"Q" &amp;ROUNDUP(MONTH(Table14[[#This Row],[Date]])/3,0)</f>
        <v>Q3</v>
      </c>
      <c r="F123" s="4" t="s">
        <v>23</v>
      </c>
      <c r="G123" s="4" t="s">
        <v>16</v>
      </c>
      <c r="H123" s="4" t="s">
        <v>26</v>
      </c>
      <c r="I123" s="15">
        <v>537.25</v>
      </c>
      <c r="J123" s="17">
        <v>4</v>
      </c>
      <c r="K123" s="15">
        <v>114.11</v>
      </c>
      <c r="L123" s="15">
        <f>Table14[[#This Row],[Sales]]-Table14[[#This Row],[Cost]]</f>
        <v>423.14</v>
      </c>
    </row>
    <row r="124" spans="1:12" x14ac:dyDescent="0.35">
      <c r="A124" t="s">
        <v>142</v>
      </c>
      <c r="B124" s="6">
        <v>45123</v>
      </c>
      <c r="C124" s="6" t="str">
        <f>TEXT(Table14[[#This Row],[Date]],"YYY")</f>
        <v>2023</v>
      </c>
      <c r="D124" s="6" t="str">
        <f>TEXT(Table14[[#This Row],[Date]],"MMMM")</f>
        <v>July</v>
      </c>
      <c r="E124" s="6" t="str">
        <f>"Q" &amp;ROUNDUP(MONTH(Table14[[#This Row],[Date]])/3,0)</f>
        <v>Q3</v>
      </c>
      <c r="F124" s="4" t="s">
        <v>13</v>
      </c>
      <c r="G124" s="4" t="s">
        <v>10</v>
      </c>
      <c r="H124" s="4" t="s">
        <v>19</v>
      </c>
      <c r="I124" s="15">
        <v>2886.6</v>
      </c>
      <c r="J124" s="17">
        <v>4</v>
      </c>
      <c r="K124" s="15">
        <v>596.11</v>
      </c>
      <c r="L124" s="15">
        <f>Table14[[#This Row],[Sales]]-Table14[[#This Row],[Cost]]</f>
        <v>2290.4899999999998</v>
      </c>
    </row>
    <row r="125" spans="1:12" x14ac:dyDescent="0.35">
      <c r="A125" t="s">
        <v>143</v>
      </c>
      <c r="B125" s="6">
        <v>45029</v>
      </c>
      <c r="C125" s="6" t="str">
        <f>TEXT(Table14[[#This Row],[Date]],"YYY")</f>
        <v>2023</v>
      </c>
      <c r="D125" s="6" t="str">
        <f>TEXT(Table14[[#This Row],[Date]],"MMMM")</f>
        <v>April</v>
      </c>
      <c r="E125" s="6" t="str">
        <f>"Q" &amp;ROUNDUP(MONTH(Table14[[#This Row],[Date]])/3,0)</f>
        <v>Q2</v>
      </c>
      <c r="F125" s="4" t="s">
        <v>25</v>
      </c>
      <c r="G125" s="4" t="s">
        <v>16</v>
      </c>
      <c r="H125" s="4" t="s">
        <v>26</v>
      </c>
      <c r="I125" s="15">
        <v>1249.68</v>
      </c>
      <c r="J125" s="17">
        <v>4</v>
      </c>
      <c r="K125" s="15">
        <v>251.07</v>
      </c>
      <c r="L125" s="15">
        <f>Table14[[#This Row],[Sales]]-Table14[[#This Row],[Cost]]</f>
        <v>998.61000000000013</v>
      </c>
    </row>
    <row r="126" spans="1:12" x14ac:dyDescent="0.35">
      <c r="A126" t="s">
        <v>144</v>
      </c>
      <c r="B126" s="6">
        <v>45652</v>
      </c>
      <c r="C126" s="6" t="str">
        <f>TEXT(Table14[[#This Row],[Date]],"YYY")</f>
        <v>2024</v>
      </c>
      <c r="D126" s="6" t="str">
        <f>TEXT(Table14[[#This Row],[Date]],"MMMM")</f>
        <v>December</v>
      </c>
      <c r="E126" s="6" t="str">
        <f>"Q" &amp;ROUNDUP(MONTH(Table14[[#This Row],[Date]])/3,0)</f>
        <v>Q4</v>
      </c>
      <c r="F126" s="4" t="s">
        <v>23</v>
      </c>
      <c r="G126" s="4" t="s">
        <v>16</v>
      </c>
      <c r="H126" s="4" t="s">
        <v>11</v>
      </c>
      <c r="I126" s="15">
        <v>1194.8800000000001</v>
      </c>
      <c r="J126" s="17">
        <v>9</v>
      </c>
      <c r="K126" s="15">
        <v>118.73</v>
      </c>
      <c r="L126" s="15">
        <f>Table14[[#This Row],[Sales]]-Table14[[#This Row],[Cost]]</f>
        <v>1076.1500000000001</v>
      </c>
    </row>
    <row r="127" spans="1:12" x14ac:dyDescent="0.35">
      <c r="A127" t="s">
        <v>145</v>
      </c>
      <c r="B127" s="6">
        <v>45641</v>
      </c>
      <c r="C127" s="6" t="str">
        <f>TEXT(Table14[[#This Row],[Date]],"YYY")</f>
        <v>2024</v>
      </c>
      <c r="D127" s="6" t="str">
        <f>TEXT(Table14[[#This Row],[Date]],"MMMM")</f>
        <v>December</v>
      </c>
      <c r="E127" s="6" t="str">
        <f>"Q" &amp;ROUNDUP(MONTH(Table14[[#This Row],[Date]])/3,0)</f>
        <v>Q4</v>
      </c>
      <c r="F127" s="4" t="s">
        <v>13</v>
      </c>
      <c r="G127" s="4" t="s">
        <v>10</v>
      </c>
      <c r="H127" s="4" t="s">
        <v>26</v>
      </c>
      <c r="I127" s="15">
        <v>2175.4</v>
      </c>
      <c r="J127" s="17">
        <v>3</v>
      </c>
      <c r="K127" s="15">
        <v>517.54</v>
      </c>
      <c r="L127" s="15">
        <f>Table14[[#This Row],[Sales]]-Table14[[#This Row],[Cost]]</f>
        <v>1657.8600000000001</v>
      </c>
    </row>
    <row r="128" spans="1:12" x14ac:dyDescent="0.35">
      <c r="A128" t="s">
        <v>146</v>
      </c>
      <c r="B128" s="6">
        <v>45514</v>
      </c>
      <c r="C128" s="6" t="str">
        <f>TEXT(Table14[[#This Row],[Date]],"YYY")</f>
        <v>2024</v>
      </c>
      <c r="D128" s="6" t="str">
        <f>TEXT(Table14[[#This Row],[Date]],"MMMM")</f>
        <v>August</v>
      </c>
      <c r="E128" s="6" t="str">
        <f>"Q" &amp;ROUNDUP(MONTH(Table14[[#This Row],[Date]])/3,0)</f>
        <v>Q3</v>
      </c>
      <c r="F128" s="4" t="s">
        <v>13</v>
      </c>
      <c r="G128" s="4" t="s">
        <v>10</v>
      </c>
      <c r="H128" s="4" t="s">
        <v>11</v>
      </c>
      <c r="I128" s="15">
        <v>2463.87</v>
      </c>
      <c r="J128" s="17">
        <v>5</v>
      </c>
      <c r="K128" s="15">
        <v>386.13</v>
      </c>
      <c r="L128" s="15">
        <f>Table14[[#This Row],[Sales]]-Table14[[#This Row],[Cost]]</f>
        <v>2077.7399999999998</v>
      </c>
    </row>
    <row r="129" spans="1:12" x14ac:dyDescent="0.35">
      <c r="A129" t="s">
        <v>147</v>
      </c>
      <c r="B129" s="6">
        <v>45185</v>
      </c>
      <c r="C129" s="6" t="str">
        <f>TEXT(Table14[[#This Row],[Date]],"YYY")</f>
        <v>2023</v>
      </c>
      <c r="D129" s="6" t="str">
        <f>TEXT(Table14[[#This Row],[Date]],"MMMM")</f>
        <v>September</v>
      </c>
      <c r="E129" s="6" t="str">
        <f>"Q" &amp;ROUNDUP(MONTH(Table14[[#This Row],[Date]])/3,0)</f>
        <v>Q3</v>
      </c>
      <c r="F129" s="4" t="s">
        <v>15</v>
      </c>
      <c r="G129" s="4" t="s">
        <v>16</v>
      </c>
      <c r="H129" s="4" t="s">
        <v>11</v>
      </c>
      <c r="I129" s="15">
        <v>981.9</v>
      </c>
      <c r="J129" s="17">
        <v>8</v>
      </c>
      <c r="K129" s="15">
        <v>108.99</v>
      </c>
      <c r="L129" s="15">
        <f>Table14[[#This Row],[Sales]]-Table14[[#This Row],[Cost]]</f>
        <v>872.91</v>
      </c>
    </row>
    <row r="130" spans="1:12" x14ac:dyDescent="0.35">
      <c r="A130" t="s">
        <v>148</v>
      </c>
      <c r="B130" s="6">
        <v>45517</v>
      </c>
      <c r="C130" s="6" t="str">
        <f>TEXT(Table14[[#This Row],[Date]],"YYY")</f>
        <v>2024</v>
      </c>
      <c r="D130" s="6" t="str">
        <f>TEXT(Table14[[#This Row],[Date]],"MMMM")</f>
        <v>August</v>
      </c>
      <c r="E130" s="6" t="str">
        <f>"Q" &amp;ROUNDUP(MONTH(Table14[[#This Row],[Date]])/3,0)</f>
        <v>Q3</v>
      </c>
      <c r="F130" s="4" t="s">
        <v>18</v>
      </c>
      <c r="G130" s="4" t="s">
        <v>10</v>
      </c>
      <c r="H130" s="4" t="s">
        <v>11</v>
      </c>
      <c r="I130" s="15">
        <v>197.07</v>
      </c>
      <c r="J130" s="17">
        <v>1</v>
      </c>
      <c r="K130" s="15">
        <v>138.35</v>
      </c>
      <c r="L130" s="15">
        <f>Table14[[#This Row],[Sales]]-Table14[[#This Row],[Cost]]</f>
        <v>58.72</v>
      </c>
    </row>
    <row r="131" spans="1:12" x14ac:dyDescent="0.35">
      <c r="A131" t="s">
        <v>149</v>
      </c>
      <c r="B131" s="6">
        <v>45181</v>
      </c>
      <c r="C131" s="6" t="str">
        <f>TEXT(Table14[[#This Row],[Date]],"YYY")</f>
        <v>2023</v>
      </c>
      <c r="D131" s="6" t="str">
        <f>TEXT(Table14[[#This Row],[Date]],"MMMM")</f>
        <v>September</v>
      </c>
      <c r="E131" s="6" t="str">
        <f>"Q" &amp;ROUNDUP(MONTH(Table14[[#This Row],[Date]])/3,0)</f>
        <v>Q3</v>
      </c>
      <c r="F131" s="4" t="s">
        <v>23</v>
      </c>
      <c r="G131" s="4" t="s">
        <v>16</v>
      </c>
      <c r="H131" s="4" t="s">
        <v>11</v>
      </c>
      <c r="I131" s="15">
        <v>1153.25</v>
      </c>
      <c r="J131" s="17">
        <v>2</v>
      </c>
      <c r="K131" s="15">
        <v>455.3</v>
      </c>
      <c r="L131" s="15">
        <f>Table14[[#This Row],[Sales]]-Table14[[#This Row],[Cost]]</f>
        <v>697.95</v>
      </c>
    </row>
    <row r="132" spans="1:12" x14ac:dyDescent="0.35">
      <c r="A132" t="s">
        <v>150</v>
      </c>
      <c r="B132" s="6">
        <v>45462</v>
      </c>
      <c r="C132" s="6" t="str">
        <f>TEXT(Table14[[#This Row],[Date]],"YYY")</f>
        <v>2024</v>
      </c>
      <c r="D132" s="6" t="str">
        <f>TEXT(Table14[[#This Row],[Date]],"MMMM")</f>
        <v>June</v>
      </c>
      <c r="E132" s="6" t="str">
        <f>"Q" &amp;ROUNDUP(MONTH(Table14[[#This Row],[Date]])/3,0)</f>
        <v>Q2</v>
      </c>
      <c r="F132" s="4" t="s">
        <v>25</v>
      </c>
      <c r="G132" s="4" t="s">
        <v>16</v>
      </c>
      <c r="H132" s="4" t="s">
        <v>19</v>
      </c>
      <c r="I132" s="15">
        <v>3320.17</v>
      </c>
      <c r="J132" s="17">
        <v>7</v>
      </c>
      <c r="K132" s="15">
        <v>371.4</v>
      </c>
      <c r="L132" s="15">
        <f>Table14[[#This Row],[Sales]]-Table14[[#This Row],[Cost]]</f>
        <v>2948.77</v>
      </c>
    </row>
    <row r="133" spans="1:12" x14ac:dyDescent="0.35">
      <c r="A133" t="s">
        <v>151</v>
      </c>
      <c r="B133" s="6">
        <v>45239</v>
      </c>
      <c r="C133" s="6" t="str">
        <f>TEXT(Table14[[#This Row],[Date]],"YYY")</f>
        <v>2023</v>
      </c>
      <c r="D133" s="6" t="str">
        <f>TEXT(Table14[[#This Row],[Date]],"MMMM")</f>
        <v>November</v>
      </c>
      <c r="E133" s="6" t="str">
        <f>"Q" &amp;ROUNDUP(MONTH(Table14[[#This Row],[Date]])/3,0)</f>
        <v>Q4</v>
      </c>
      <c r="F133" s="4" t="s">
        <v>25</v>
      </c>
      <c r="G133" s="4" t="s">
        <v>16</v>
      </c>
      <c r="H133" s="4" t="s">
        <v>21</v>
      </c>
      <c r="I133" s="15">
        <v>6778.39</v>
      </c>
      <c r="J133" s="17">
        <v>10</v>
      </c>
      <c r="K133" s="15">
        <v>504.4</v>
      </c>
      <c r="L133" s="15">
        <f>Table14[[#This Row],[Sales]]-Table14[[#This Row],[Cost]]</f>
        <v>6273.9900000000007</v>
      </c>
    </row>
    <row r="134" spans="1:12" x14ac:dyDescent="0.35">
      <c r="A134" t="s">
        <v>152</v>
      </c>
      <c r="B134" s="6">
        <v>45139</v>
      </c>
      <c r="C134" s="6" t="str">
        <f>TEXT(Table14[[#This Row],[Date]],"YYY")</f>
        <v>2023</v>
      </c>
      <c r="D134" s="6" t="str">
        <f>TEXT(Table14[[#This Row],[Date]],"MMMM")</f>
        <v>August</v>
      </c>
      <c r="E134" s="6" t="str">
        <f>"Q" &amp;ROUNDUP(MONTH(Table14[[#This Row],[Date]])/3,0)</f>
        <v>Q3</v>
      </c>
      <c r="F134" s="4" t="s">
        <v>9</v>
      </c>
      <c r="G134" s="4" t="s">
        <v>10</v>
      </c>
      <c r="H134" s="4" t="s">
        <v>11</v>
      </c>
      <c r="I134" s="15">
        <v>1025.6600000000001</v>
      </c>
      <c r="J134" s="17">
        <v>4</v>
      </c>
      <c r="K134" s="15">
        <v>226.42</v>
      </c>
      <c r="L134" s="15">
        <f>Table14[[#This Row],[Sales]]-Table14[[#This Row],[Cost]]</f>
        <v>799.24000000000012</v>
      </c>
    </row>
    <row r="135" spans="1:12" x14ac:dyDescent="0.35">
      <c r="A135" t="s">
        <v>153</v>
      </c>
      <c r="B135" s="6">
        <v>45492</v>
      </c>
      <c r="C135" s="6" t="str">
        <f>TEXT(Table14[[#This Row],[Date]],"YYY")</f>
        <v>2024</v>
      </c>
      <c r="D135" s="6" t="str">
        <f>TEXT(Table14[[#This Row],[Date]],"MMMM")</f>
        <v>July</v>
      </c>
      <c r="E135" s="6" t="str">
        <f>"Q" &amp;ROUNDUP(MONTH(Table14[[#This Row],[Date]])/3,0)</f>
        <v>Q3</v>
      </c>
      <c r="F135" s="4" t="s">
        <v>15</v>
      </c>
      <c r="G135" s="4" t="s">
        <v>16</v>
      </c>
      <c r="H135" s="4" t="s">
        <v>19</v>
      </c>
      <c r="I135" s="15">
        <v>359.06</v>
      </c>
      <c r="J135" s="17">
        <v>2</v>
      </c>
      <c r="K135" s="15">
        <v>142.1</v>
      </c>
      <c r="L135" s="15">
        <f>Table14[[#This Row],[Sales]]-Table14[[#This Row],[Cost]]</f>
        <v>216.96</v>
      </c>
    </row>
    <row r="136" spans="1:12" x14ac:dyDescent="0.35">
      <c r="A136" t="s">
        <v>154</v>
      </c>
      <c r="B136" s="6">
        <v>45225</v>
      </c>
      <c r="C136" s="6" t="str">
        <f>TEXT(Table14[[#This Row],[Date]],"YYY")</f>
        <v>2023</v>
      </c>
      <c r="D136" s="6" t="str">
        <f>TEXT(Table14[[#This Row],[Date]],"MMMM")</f>
        <v>October</v>
      </c>
      <c r="E136" s="6" t="str">
        <f>"Q" &amp;ROUNDUP(MONTH(Table14[[#This Row],[Date]])/3,0)</f>
        <v>Q4</v>
      </c>
      <c r="F136" s="4" t="s">
        <v>9</v>
      </c>
      <c r="G136" s="4" t="s">
        <v>10</v>
      </c>
      <c r="H136" s="4" t="s">
        <v>21</v>
      </c>
      <c r="I136" s="15">
        <v>277.32</v>
      </c>
      <c r="J136" s="17">
        <v>1</v>
      </c>
      <c r="K136" s="15">
        <v>200.55</v>
      </c>
      <c r="L136" s="15">
        <f>Table14[[#This Row],[Sales]]-Table14[[#This Row],[Cost]]</f>
        <v>76.769999999999982</v>
      </c>
    </row>
    <row r="137" spans="1:12" x14ac:dyDescent="0.35">
      <c r="A137" t="s">
        <v>155</v>
      </c>
      <c r="B137" s="6">
        <v>44999</v>
      </c>
      <c r="C137" s="6" t="str">
        <f>TEXT(Table14[[#This Row],[Date]],"YYY")</f>
        <v>2023</v>
      </c>
      <c r="D137" s="6" t="str">
        <f>TEXT(Table14[[#This Row],[Date]],"MMMM")</f>
        <v>March</v>
      </c>
      <c r="E137" s="6" t="str">
        <f>"Q" &amp;ROUNDUP(MONTH(Table14[[#This Row],[Date]])/3,0)</f>
        <v>Q1</v>
      </c>
      <c r="F137" s="4" t="s">
        <v>9</v>
      </c>
      <c r="G137" s="4" t="s">
        <v>10</v>
      </c>
      <c r="H137" s="4" t="s">
        <v>21</v>
      </c>
      <c r="I137" s="15">
        <v>4192.47</v>
      </c>
      <c r="J137" s="17">
        <v>4</v>
      </c>
      <c r="K137" s="15">
        <v>740.65</v>
      </c>
      <c r="L137" s="15">
        <f>Table14[[#This Row],[Sales]]-Table14[[#This Row],[Cost]]</f>
        <v>3451.82</v>
      </c>
    </row>
    <row r="138" spans="1:12" x14ac:dyDescent="0.35">
      <c r="A138" t="s">
        <v>156</v>
      </c>
      <c r="B138" s="6">
        <v>45362</v>
      </c>
      <c r="C138" s="6" t="str">
        <f>TEXT(Table14[[#This Row],[Date]],"YYY")</f>
        <v>2024</v>
      </c>
      <c r="D138" s="6" t="str">
        <f>TEXT(Table14[[#This Row],[Date]],"MMMM")</f>
        <v>March</v>
      </c>
      <c r="E138" s="6" t="str">
        <f>"Q" &amp;ROUNDUP(MONTH(Table14[[#This Row],[Date]])/3,0)</f>
        <v>Q1</v>
      </c>
      <c r="F138" s="4" t="s">
        <v>9</v>
      </c>
      <c r="G138" s="4" t="s">
        <v>10</v>
      </c>
      <c r="H138" s="4" t="s">
        <v>19</v>
      </c>
      <c r="I138" s="15">
        <v>1208.9100000000001</v>
      </c>
      <c r="J138" s="17">
        <v>2</v>
      </c>
      <c r="K138" s="15">
        <v>444.76</v>
      </c>
      <c r="L138" s="15">
        <f>Table14[[#This Row],[Sales]]-Table14[[#This Row],[Cost]]</f>
        <v>764.15000000000009</v>
      </c>
    </row>
    <row r="139" spans="1:12" x14ac:dyDescent="0.35">
      <c r="A139" t="s">
        <v>157</v>
      </c>
      <c r="B139" s="6">
        <v>45000</v>
      </c>
      <c r="C139" s="6" t="str">
        <f>TEXT(Table14[[#This Row],[Date]],"YYY")</f>
        <v>2023</v>
      </c>
      <c r="D139" s="6" t="str">
        <f>TEXT(Table14[[#This Row],[Date]],"MMMM")</f>
        <v>March</v>
      </c>
      <c r="E139" s="6" t="str">
        <f>"Q" &amp;ROUNDUP(MONTH(Table14[[#This Row],[Date]])/3,0)</f>
        <v>Q1</v>
      </c>
      <c r="F139" s="4" t="s">
        <v>23</v>
      </c>
      <c r="G139" s="4" t="s">
        <v>16</v>
      </c>
      <c r="H139" s="4" t="s">
        <v>19</v>
      </c>
      <c r="I139" s="15">
        <v>182.75</v>
      </c>
      <c r="J139" s="17">
        <v>1</v>
      </c>
      <c r="K139" s="15">
        <v>149.41999999999999</v>
      </c>
      <c r="L139" s="15">
        <f>Table14[[#This Row],[Sales]]-Table14[[#This Row],[Cost]]</f>
        <v>33.330000000000013</v>
      </c>
    </row>
    <row r="140" spans="1:12" x14ac:dyDescent="0.35">
      <c r="A140" t="s">
        <v>158</v>
      </c>
      <c r="B140" s="6">
        <v>45376</v>
      </c>
      <c r="C140" s="6" t="str">
        <f>TEXT(Table14[[#This Row],[Date]],"YYY")</f>
        <v>2024</v>
      </c>
      <c r="D140" s="6" t="str">
        <f>TEXT(Table14[[#This Row],[Date]],"MMMM")</f>
        <v>March</v>
      </c>
      <c r="E140" s="6" t="str">
        <f>"Q" &amp;ROUNDUP(MONTH(Table14[[#This Row],[Date]])/3,0)</f>
        <v>Q1</v>
      </c>
      <c r="F140" s="4" t="s">
        <v>9</v>
      </c>
      <c r="G140" s="4" t="s">
        <v>10</v>
      </c>
      <c r="H140" s="4" t="s">
        <v>26</v>
      </c>
      <c r="I140" s="15">
        <v>942.08</v>
      </c>
      <c r="J140" s="17">
        <v>2</v>
      </c>
      <c r="K140" s="15">
        <v>385.58</v>
      </c>
      <c r="L140" s="15">
        <f>Table14[[#This Row],[Sales]]-Table14[[#This Row],[Cost]]</f>
        <v>556.5</v>
      </c>
    </row>
    <row r="141" spans="1:12" x14ac:dyDescent="0.35">
      <c r="A141" t="s">
        <v>159</v>
      </c>
      <c r="B141" s="6">
        <v>45439</v>
      </c>
      <c r="C141" s="6" t="str">
        <f>TEXT(Table14[[#This Row],[Date]],"YYY")</f>
        <v>2024</v>
      </c>
      <c r="D141" s="6" t="str">
        <f>TEXT(Table14[[#This Row],[Date]],"MMMM")</f>
        <v>May</v>
      </c>
      <c r="E141" s="6" t="str">
        <f>"Q" &amp;ROUNDUP(MONTH(Table14[[#This Row],[Date]])/3,0)</f>
        <v>Q2</v>
      </c>
      <c r="F141" s="4" t="s">
        <v>18</v>
      </c>
      <c r="G141" s="4" t="s">
        <v>10</v>
      </c>
      <c r="H141" s="4" t="s">
        <v>26</v>
      </c>
      <c r="I141" s="15">
        <v>4128.41</v>
      </c>
      <c r="J141" s="17">
        <v>9</v>
      </c>
      <c r="K141" s="15">
        <v>405.16</v>
      </c>
      <c r="L141" s="15">
        <f>Table14[[#This Row],[Sales]]-Table14[[#This Row],[Cost]]</f>
        <v>3723.25</v>
      </c>
    </row>
    <row r="142" spans="1:12" x14ac:dyDescent="0.35">
      <c r="A142" t="s">
        <v>160</v>
      </c>
      <c r="B142" s="6">
        <v>45257</v>
      </c>
      <c r="C142" s="6" t="str">
        <f>TEXT(Table14[[#This Row],[Date]],"YYY")</f>
        <v>2023</v>
      </c>
      <c r="D142" s="6" t="str">
        <f>TEXT(Table14[[#This Row],[Date]],"MMMM")</f>
        <v>November</v>
      </c>
      <c r="E142" s="6" t="str">
        <f>"Q" &amp;ROUNDUP(MONTH(Table14[[#This Row],[Date]])/3,0)</f>
        <v>Q4</v>
      </c>
      <c r="F142" s="4" t="s">
        <v>13</v>
      </c>
      <c r="G142" s="4" t="s">
        <v>10</v>
      </c>
      <c r="H142" s="4" t="s">
        <v>21</v>
      </c>
      <c r="I142" s="15">
        <v>2446.84</v>
      </c>
      <c r="J142" s="17">
        <v>10</v>
      </c>
      <c r="K142" s="15">
        <v>215.29</v>
      </c>
      <c r="L142" s="15">
        <f>Table14[[#This Row],[Sales]]-Table14[[#This Row],[Cost]]</f>
        <v>2231.5500000000002</v>
      </c>
    </row>
    <row r="143" spans="1:12" x14ac:dyDescent="0.35">
      <c r="A143" t="s">
        <v>161</v>
      </c>
      <c r="B143" s="6">
        <v>45615</v>
      </c>
      <c r="C143" s="6" t="str">
        <f>TEXT(Table14[[#This Row],[Date]],"YYY")</f>
        <v>2024</v>
      </c>
      <c r="D143" s="6" t="str">
        <f>TEXT(Table14[[#This Row],[Date]],"MMMM")</f>
        <v>November</v>
      </c>
      <c r="E143" s="6" t="str">
        <f>"Q" &amp;ROUNDUP(MONTH(Table14[[#This Row],[Date]])/3,0)</f>
        <v>Q4</v>
      </c>
      <c r="F143" s="4" t="s">
        <v>9</v>
      </c>
      <c r="G143" s="4" t="s">
        <v>10</v>
      </c>
      <c r="H143" s="4" t="s">
        <v>11</v>
      </c>
      <c r="I143" s="15">
        <v>3298.6</v>
      </c>
      <c r="J143" s="17">
        <v>5</v>
      </c>
      <c r="K143" s="15">
        <v>469.47</v>
      </c>
      <c r="L143" s="15">
        <f>Table14[[#This Row],[Sales]]-Table14[[#This Row],[Cost]]</f>
        <v>2829.13</v>
      </c>
    </row>
    <row r="144" spans="1:12" x14ac:dyDescent="0.35">
      <c r="A144" t="s">
        <v>162</v>
      </c>
      <c r="B144" s="6">
        <v>45458</v>
      </c>
      <c r="C144" s="6" t="str">
        <f>TEXT(Table14[[#This Row],[Date]],"YYY")</f>
        <v>2024</v>
      </c>
      <c r="D144" s="6" t="str">
        <f>TEXT(Table14[[#This Row],[Date]],"MMMM")</f>
        <v>June</v>
      </c>
      <c r="E144" s="6" t="str">
        <f>"Q" &amp;ROUNDUP(MONTH(Table14[[#This Row],[Date]])/3,0)</f>
        <v>Q2</v>
      </c>
      <c r="F144" s="4" t="s">
        <v>15</v>
      </c>
      <c r="G144" s="4" t="s">
        <v>16</v>
      </c>
      <c r="H144" s="4" t="s">
        <v>21</v>
      </c>
      <c r="I144" s="15">
        <v>6890.55</v>
      </c>
      <c r="J144" s="17">
        <v>8</v>
      </c>
      <c r="K144" s="15">
        <v>734.54</v>
      </c>
      <c r="L144" s="15">
        <f>Table14[[#This Row],[Sales]]-Table14[[#This Row],[Cost]]</f>
        <v>6156.01</v>
      </c>
    </row>
    <row r="145" spans="1:12" x14ac:dyDescent="0.35">
      <c r="A145" t="s">
        <v>163</v>
      </c>
      <c r="B145" s="6">
        <v>45577</v>
      </c>
      <c r="C145" s="6" t="str">
        <f>TEXT(Table14[[#This Row],[Date]],"YYY")</f>
        <v>2024</v>
      </c>
      <c r="D145" s="6" t="str">
        <f>TEXT(Table14[[#This Row],[Date]],"MMMM")</f>
        <v>October</v>
      </c>
      <c r="E145" s="6" t="str">
        <f>"Q" &amp;ROUNDUP(MONTH(Table14[[#This Row],[Date]])/3,0)</f>
        <v>Q4</v>
      </c>
      <c r="F145" s="4" t="s">
        <v>25</v>
      </c>
      <c r="G145" s="4" t="s">
        <v>16</v>
      </c>
      <c r="H145" s="4" t="s">
        <v>21</v>
      </c>
      <c r="I145" s="15">
        <v>7994.49</v>
      </c>
      <c r="J145" s="17">
        <v>8</v>
      </c>
      <c r="K145" s="15">
        <v>775.86</v>
      </c>
      <c r="L145" s="15">
        <f>Table14[[#This Row],[Sales]]-Table14[[#This Row],[Cost]]</f>
        <v>7218.63</v>
      </c>
    </row>
    <row r="146" spans="1:12" x14ac:dyDescent="0.35">
      <c r="A146" t="s">
        <v>164</v>
      </c>
      <c r="B146" s="6">
        <v>45255</v>
      </c>
      <c r="C146" s="6" t="str">
        <f>TEXT(Table14[[#This Row],[Date]],"YYY")</f>
        <v>2023</v>
      </c>
      <c r="D146" s="6" t="str">
        <f>TEXT(Table14[[#This Row],[Date]],"MMMM")</f>
        <v>November</v>
      </c>
      <c r="E146" s="6" t="str">
        <f>"Q" &amp;ROUNDUP(MONTH(Table14[[#This Row],[Date]])/3,0)</f>
        <v>Q4</v>
      </c>
      <c r="F146" s="4" t="s">
        <v>18</v>
      </c>
      <c r="G146" s="4" t="s">
        <v>10</v>
      </c>
      <c r="H146" s="4" t="s">
        <v>26</v>
      </c>
      <c r="I146" s="15">
        <v>1697.66</v>
      </c>
      <c r="J146" s="17">
        <v>2</v>
      </c>
      <c r="K146" s="15">
        <v>689.03</v>
      </c>
      <c r="L146" s="15">
        <f>Table14[[#This Row],[Sales]]-Table14[[#This Row],[Cost]]</f>
        <v>1008.6300000000001</v>
      </c>
    </row>
    <row r="147" spans="1:12" x14ac:dyDescent="0.35">
      <c r="A147" t="s">
        <v>165</v>
      </c>
      <c r="B147" s="6">
        <v>45222</v>
      </c>
      <c r="C147" s="6" t="str">
        <f>TEXT(Table14[[#This Row],[Date]],"YYY")</f>
        <v>2023</v>
      </c>
      <c r="D147" s="6" t="str">
        <f>TEXT(Table14[[#This Row],[Date]],"MMMM")</f>
        <v>October</v>
      </c>
      <c r="E147" s="6" t="str">
        <f>"Q" &amp;ROUNDUP(MONTH(Table14[[#This Row],[Date]])/3,0)</f>
        <v>Q4</v>
      </c>
      <c r="F147" s="4" t="s">
        <v>9</v>
      </c>
      <c r="G147" s="4" t="s">
        <v>10</v>
      </c>
      <c r="H147" s="4" t="s">
        <v>21</v>
      </c>
      <c r="I147" s="15">
        <v>6048.5</v>
      </c>
      <c r="J147" s="17">
        <v>7</v>
      </c>
      <c r="K147" s="15">
        <v>654.58000000000004</v>
      </c>
      <c r="L147" s="15">
        <f>Table14[[#This Row],[Sales]]-Table14[[#This Row],[Cost]]</f>
        <v>5393.92</v>
      </c>
    </row>
    <row r="148" spans="1:12" x14ac:dyDescent="0.35">
      <c r="A148" t="s">
        <v>166</v>
      </c>
      <c r="B148" s="6">
        <v>45249</v>
      </c>
      <c r="C148" s="6" t="str">
        <f>TEXT(Table14[[#This Row],[Date]],"YYY")</f>
        <v>2023</v>
      </c>
      <c r="D148" s="6" t="str">
        <f>TEXT(Table14[[#This Row],[Date]],"MMMM")</f>
        <v>November</v>
      </c>
      <c r="E148" s="6" t="str">
        <f>"Q" &amp;ROUNDUP(MONTH(Table14[[#This Row],[Date]])/3,0)</f>
        <v>Q4</v>
      </c>
      <c r="F148" s="4" t="s">
        <v>18</v>
      </c>
      <c r="G148" s="4" t="s">
        <v>10</v>
      </c>
      <c r="H148" s="4" t="s">
        <v>11</v>
      </c>
      <c r="I148" s="15">
        <v>2024.9</v>
      </c>
      <c r="J148" s="17">
        <v>5</v>
      </c>
      <c r="K148" s="15">
        <v>272.14999999999998</v>
      </c>
      <c r="L148" s="15">
        <f>Table14[[#This Row],[Sales]]-Table14[[#This Row],[Cost]]</f>
        <v>1752.75</v>
      </c>
    </row>
    <row r="149" spans="1:12" x14ac:dyDescent="0.35">
      <c r="A149" t="s">
        <v>167</v>
      </c>
      <c r="B149" s="6">
        <v>45600</v>
      </c>
      <c r="C149" s="6" t="str">
        <f>TEXT(Table14[[#This Row],[Date]],"YYY")</f>
        <v>2024</v>
      </c>
      <c r="D149" s="6" t="str">
        <f>TEXT(Table14[[#This Row],[Date]],"MMMM")</f>
        <v>November</v>
      </c>
      <c r="E149" s="6" t="str">
        <f>"Q" &amp;ROUNDUP(MONTH(Table14[[#This Row],[Date]])/3,0)</f>
        <v>Q4</v>
      </c>
      <c r="F149" s="4" t="s">
        <v>18</v>
      </c>
      <c r="G149" s="4" t="s">
        <v>10</v>
      </c>
      <c r="H149" s="4" t="s">
        <v>11</v>
      </c>
      <c r="I149" s="15">
        <v>3839.58</v>
      </c>
      <c r="J149" s="17">
        <v>9</v>
      </c>
      <c r="K149" s="15">
        <v>380.34</v>
      </c>
      <c r="L149" s="15">
        <f>Table14[[#This Row],[Sales]]-Table14[[#This Row],[Cost]]</f>
        <v>3459.24</v>
      </c>
    </row>
    <row r="150" spans="1:12" x14ac:dyDescent="0.35">
      <c r="A150" t="s">
        <v>168</v>
      </c>
      <c r="B150" s="6">
        <v>45564</v>
      </c>
      <c r="C150" s="6" t="str">
        <f>TEXT(Table14[[#This Row],[Date]],"YYY")</f>
        <v>2024</v>
      </c>
      <c r="D150" s="6" t="str">
        <f>TEXT(Table14[[#This Row],[Date]],"MMMM")</f>
        <v>September</v>
      </c>
      <c r="E150" s="6" t="str">
        <f>"Q" &amp;ROUNDUP(MONTH(Table14[[#This Row],[Date]])/3,0)</f>
        <v>Q3</v>
      </c>
      <c r="F150" s="4" t="s">
        <v>25</v>
      </c>
      <c r="G150" s="4" t="s">
        <v>16</v>
      </c>
      <c r="H150" s="4" t="s">
        <v>26</v>
      </c>
      <c r="I150" s="15">
        <v>5703.82</v>
      </c>
      <c r="J150" s="17">
        <v>8</v>
      </c>
      <c r="K150" s="15">
        <v>507.82</v>
      </c>
      <c r="L150" s="15">
        <f>Table14[[#This Row],[Sales]]-Table14[[#This Row],[Cost]]</f>
        <v>5196</v>
      </c>
    </row>
    <row r="151" spans="1:12" x14ac:dyDescent="0.35">
      <c r="A151" t="s">
        <v>169</v>
      </c>
      <c r="B151" s="6">
        <v>45489</v>
      </c>
      <c r="C151" s="6" t="str">
        <f>TEXT(Table14[[#This Row],[Date]],"YYY")</f>
        <v>2024</v>
      </c>
      <c r="D151" s="6" t="str">
        <f>TEXT(Table14[[#This Row],[Date]],"MMMM")</f>
        <v>July</v>
      </c>
      <c r="E151" s="6" t="str">
        <f>"Q" &amp;ROUNDUP(MONTH(Table14[[#This Row],[Date]])/3,0)</f>
        <v>Q3</v>
      </c>
      <c r="F151" s="4" t="s">
        <v>15</v>
      </c>
      <c r="G151" s="4" t="s">
        <v>16</v>
      </c>
      <c r="H151" s="4" t="s">
        <v>26</v>
      </c>
      <c r="I151" s="15">
        <v>2844.74</v>
      </c>
      <c r="J151" s="17">
        <v>3</v>
      </c>
      <c r="K151" s="15">
        <v>743.58</v>
      </c>
      <c r="L151" s="15">
        <f>Table14[[#This Row],[Sales]]-Table14[[#This Row],[Cost]]</f>
        <v>2101.16</v>
      </c>
    </row>
    <row r="152" spans="1:12" x14ac:dyDescent="0.35">
      <c r="A152" t="s">
        <v>170</v>
      </c>
      <c r="B152" s="6">
        <v>45051</v>
      </c>
      <c r="C152" s="6" t="str">
        <f>TEXT(Table14[[#This Row],[Date]],"YYY")</f>
        <v>2023</v>
      </c>
      <c r="D152" s="6" t="str">
        <f>TEXT(Table14[[#This Row],[Date]],"MMMM")</f>
        <v>May</v>
      </c>
      <c r="E152" s="6" t="str">
        <f>"Q" &amp;ROUNDUP(MONTH(Table14[[#This Row],[Date]])/3,0)</f>
        <v>Q2</v>
      </c>
      <c r="F152" s="4" t="s">
        <v>9</v>
      </c>
      <c r="G152" s="4" t="s">
        <v>10</v>
      </c>
      <c r="H152" s="4" t="s">
        <v>21</v>
      </c>
      <c r="I152" s="15">
        <v>1046.69</v>
      </c>
      <c r="J152" s="17">
        <v>1</v>
      </c>
      <c r="K152" s="15">
        <v>779.05</v>
      </c>
      <c r="L152" s="15">
        <f>Table14[[#This Row],[Sales]]-Table14[[#This Row],[Cost]]</f>
        <v>267.6400000000001</v>
      </c>
    </row>
    <row r="153" spans="1:12" x14ac:dyDescent="0.35">
      <c r="A153" t="s">
        <v>171</v>
      </c>
      <c r="B153" s="6">
        <v>45245</v>
      </c>
      <c r="C153" s="6" t="str">
        <f>TEXT(Table14[[#This Row],[Date]],"YYY")</f>
        <v>2023</v>
      </c>
      <c r="D153" s="6" t="str">
        <f>TEXT(Table14[[#This Row],[Date]],"MMMM")</f>
        <v>November</v>
      </c>
      <c r="E153" s="6" t="str">
        <f>"Q" &amp;ROUNDUP(MONTH(Table14[[#This Row],[Date]])/3,0)</f>
        <v>Q4</v>
      </c>
      <c r="F153" s="4" t="s">
        <v>15</v>
      </c>
      <c r="G153" s="4" t="s">
        <v>16</v>
      </c>
      <c r="H153" s="4" t="s">
        <v>19</v>
      </c>
      <c r="I153" s="15">
        <v>348.68</v>
      </c>
      <c r="J153" s="17">
        <v>9</v>
      </c>
      <c r="K153" s="15">
        <v>30.67</v>
      </c>
      <c r="L153" s="15">
        <f>Table14[[#This Row],[Sales]]-Table14[[#This Row],[Cost]]</f>
        <v>318.01</v>
      </c>
    </row>
    <row r="154" spans="1:12" x14ac:dyDescent="0.35">
      <c r="A154" t="s">
        <v>172</v>
      </c>
      <c r="B154" s="6">
        <v>45399</v>
      </c>
      <c r="C154" s="6" t="str">
        <f>TEXT(Table14[[#This Row],[Date]],"YYY")</f>
        <v>2024</v>
      </c>
      <c r="D154" s="6" t="str">
        <f>TEXT(Table14[[#This Row],[Date]],"MMMM")</f>
        <v>April</v>
      </c>
      <c r="E154" s="6" t="str">
        <f>"Q" &amp;ROUNDUP(MONTH(Table14[[#This Row],[Date]])/3,0)</f>
        <v>Q2</v>
      </c>
      <c r="F154" s="4" t="s">
        <v>15</v>
      </c>
      <c r="G154" s="4" t="s">
        <v>16</v>
      </c>
      <c r="H154" s="4" t="s">
        <v>11</v>
      </c>
      <c r="I154" s="15">
        <v>1220.1600000000001</v>
      </c>
      <c r="J154" s="17">
        <v>2</v>
      </c>
      <c r="K154" s="15">
        <v>525.21</v>
      </c>
      <c r="L154" s="15">
        <f>Table14[[#This Row],[Sales]]-Table14[[#This Row],[Cost]]</f>
        <v>694.95</v>
      </c>
    </row>
    <row r="155" spans="1:12" x14ac:dyDescent="0.35">
      <c r="A155" t="s">
        <v>173</v>
      </c>
      <c r="B155" s="6">
        <v>45448</v>
      </c>
      <c r="C155" s="6" t="str">
        <f>TEXT(Table14[[#This Row],[Date]],"YYY")</f>
        <v>2024</v>
      </c>
      <c r="D155" s="6" t="str">
        <f>TEXT(Table14[[#This Row],[Date]],"MMMM")</f>
        <v>June</v>
      </c>
      <c r="E155" s="6" t="str">
        <f>"Q" &amp;ROUNDUP(MONTH(Table14[[#This Row],[Date]])/3,0)</f>
        <v>Q2</v>
      </c>
      <c r="F155" s="4" t="s">
        <v>9</v>
      </c>
      <c r="G155" s="4" t="s">
        <v>10</v>
      </c>
      <c r="H155" s="4" t="s">
        <v>26</v>
      </c>
      <c r="I155" s="15">
        <v>2224.48</v>
      </c>
      <c r="J155" s="17">
        <v>5</v>
      </c>
      <c r="K155" s="15">
        <v>344.08</v>
      </c>
      <c r="L155" s="15">
        <f>Table14[[#This Row],[Sales]]-Table14[[#This Row],[Cost]]</f>
        <v>1880.4</v>
      </c>
    </row>
    <row r="156" spans="1:12" x14ac:dyDescent="0.35">
      <c r="A156" t="s">
        <v>174</v>
      </c>
      <c r="B156" s="6">
        <v>45394</v>
      </c>
      <c r="C156" s="6" t="str">
        <f>TEXT(Table14[[#This Row],[Date]],"YYY")</f>
        <v>2024</v>
      </c>
      <c r="D156" s="6" t="str">
        <f>TEXT(Table14[[#This Row],[Date]],"MMMM")</f>
        <v>April</v>
      </c>
      <c r="E156" s="6" t="str">
        <f>"Q" &amp;ROUNDUP(MONTH(Table14[[#This Row],[Date]])/3,0)</f>
        <v>Q2</v>
      </c>
      <c r="F156" s="4" t="s">
        <v>18</v>
      </c>
      <c r="G156" s="4" t="s">
        <v>10</v>
      </c>
      <c r="H156" s="4" t="s">
        <v>19</v>
      </c>
      <c r="I156" s="15">
        <v>1406.06</v>
      </c>
      <c r="J156" s="17">
        <v>9</v>
      </c>
      <c r="K156" s="15">
        <v>132.82</v>
      </c>
      <c r="L156" s="15">
        <f>Table14[[#This Row],[Sales]]-Table14[[#This Row],[Cost]]</f>
        <v>1273.24</v>
      </c>
    </row>
    <row r="157" spans="1:12" x14ac:dyDescent="0.35">
      <c r="A157" t="s">
        <v>175</v>
      </c>
      <c r="B157" s="6">
        <v>44998</v>
      </c>
      <c r="C157" s="6" t="str">
        <f>TEXT(Table14[[#This Row],[Date]],"YYY")</f>
        <v>2023</v>
      </c>
      <c r="D157" s="6" t="str">
        <f>TEXT(Table14[[#This Row],[Date]],"MMMM")</f>
        <v>March</v>
      </c>
      <c r="E157" s="6" t="str">
        <f>"Q" &amp;ROUNDUP(MONTH(Table14[[#This Row],[Date]])/3,0)</f>
        <v>Q1</v>
      </c>
      <c r="F157" s="4" t="s">
        <v>25</v>
      </c>
      <c r="G157" s="4" t="s">
        <v>16</v>
      </c>
      <c r="H157" s="4" t="s">
        <v>19</v>
      </c>
      <c r="I157" s="15">
        <v>4488.8599999999997</v>
      </c>
      <c r="J157" s="17">
        <v>5</v>
      </c>
      <c r="K157" s="15">
        <v>622.69000000000005</v>
      </c>
      <c r="L157" s="15">
        <f>Table14[[#This Row],[Sales]]-Table14[[#This Row],[Cost]]</f>
        <v>3866.1699999999996</v>
      </c>
    </row>
    <row r="158" spans="1:12" x14ac:dyDescent="0.35">
      <c r="A158" t="s">
        <v>176</v>
      </c>
      <c r="B158" s="6">
        <v>44929</v>
      </c>
      <c r="C158" s="6" t="str">
        <f>TEXT(Table14[[#This Row],[Date]],"YYY")</f>
        <v>2023</v>
      </c>
      <c r="D158" s="6" t="str">
        <f>TEXT(Table14[[#This Row],[Date]],"MMMM")</f>
        <v>January</v>
      </c>
      <c r="E158" s="6" t="str">
        <f>"Q" &amp;ROUNDUP(MONTH(Table14[[#This Row],[Date]])/3,0)</f>
        <v>Q1</v>
      </c>
      <c r="F158" s="4" t="s">
        <v>23</v>
      </c>
      <c r="G158" s="4" t="s">
        <v>16</v>
      </c>
      <c r="H158" s="4" t="s">
        <v>26</v>
      </c>
      <c r="I158" s="15">
        <v>4206.82</v>
      </c>
      <c r="J158" s="17">
        <v>5</v>
      </c>
      <c r="K158" s="15">
        <v>586.32000000000005</v>
      </c>
      <c r="L158" s="15">
        <f>Table14[[#This Row],[Sales]]-Table14[[#This Row],[Cost]]</f>
        <v>3620.4999999999995</v>
      </c>
    </row>
    <row r="159" spans="1:12" x14ac:dyDescent="0.35">
      <c r="A159" t="s">
        <v>177</v>
      </c>
      <c r="B159" s="6">
        <v>45079</v>
      </c>
      <c r="C159" s="6" t="str">
        <f>TEXT(Table14[[#This Row],[Date]],"YYY")</f>
        <v>2023</v>
      </c>
      <c r="D159" s="6" t="str">
        <f>TEXT(Table14[[#This Row],[Date]],"MMMM")</f>
        <v>June</v>
      </c>
      <c r="E159" s="6" t="str">
        <f>"Q" &amp;ROUNDUP(MONTH(Table14[[#This Row],[Date]])/3,0)</f>
        <v>Q2</v>
      </c>
      <c r="F159" s="4" t="s">
        <v>25</v>
      </c>
      <c r="G159" s="4" t="s">
        <v>16</v>
      </c>
      <c r="H159" s="4" t="s">
        <v>21</v>
      </c>
      <c r="I159" s="15">
        <v>4358.83</v>
      </c>
      <c r="J159" s="17">
        <v>8</v>
      </c>
      <c r="K159" s="15">
        <v>440.09</v>
      </c>
      <c r="L159" s="15">
        <f>Table14[[#This Row],[Sales]]-Table14[[#This Row],[Cost]]</f>
        <v>3918.74</v>
      </c>
    </row>
    <row r="160" spans="1:12" x14ac:dyDescent="0.35">
      <c r="A160" t="s">
        <v>178</v>
      </c>
      <c r="B160" s="6">
        <v>45393</v>
      </c>
      <c r="C160" s="6" t="str">
        <f>TEXT(Table14[[#This Row],[Date]],"YYY")</f>
        <v>2024</v>
      </c>
      <c r="D160" s="6" t="str">
        <f>TEXT(Table14[[#This Row],[Date]],"MMMM")</f>
        <v>April</v>
      </c>
      <c r="E160" s="6" t="str">
        <f>"Q" &amp;ROUNDUP(MONTH(Table14[[#This Row],[Date]])/3,0)</f>
        <v>Q2</v>
      </c>
      <c r="F160" s="4" t="s">
        <v>25</v>
      </c>
      <c r="G160" s="4" t="s">
        <v>16</v>
      </c>
      <c r="H160" s="4" t="s">
        <v>21</v>
      </c>
      <c r="I160" s="15">
        <v>6252.39</v>
      </c>
      <c r="J160" s="17">
        <v>6</v>
      </c>
      <c r="K160" s="15">
        <v>698.29</v>
      </c>
      <c r="L160" s="15">
        <f>Table14[[#This Row],[Sales]]-Table14[[#This Row],[Cost]]</f>
        <v>5554.1</v>
      </c>
    </row>
    <row r="161" spans="1:12" x14ac:dyDescent="0.35">
      <c r="A161" t="s">
        <v>179</v>
      </c>
      <c r="B161" s="6">
        <v>45166</v>
      </c>
      <c r="C161" s="6" t="str">
        <f>TEXT(Table14[[#This Row],[Date]],"YYY")</f>
        <v>2023</v>
      </c>
      <c r="D161" s="6" t="str">
        <f>TEXT(Table14[[#This Row],[Date]],"MMMM")</f>
        <v>August</v>
      </c>
      <c r="E161" s="6" t="str">
        <f>"Q" &amp;ROUNDUP(MONTH(Table14[[#This Row],[Date]])/3,0)</f>
        <v>Q3</v>
      </c>
      <c r="F161" s="4" t="s">
        <v>15</v>
      </c>
      <c r="G161" s="4" t="s">
        <v>16</v>
      </c>
      <c r="H161" s="4" t="s">
        <v>21</v>
      </c>
      <c r="I161" s="15">
        <v>528.79</v>
      </c>
      <c r="J161" s="17">
        <v>7</v>
      </c>
      <c r="K161" s="15">
        <v>54.04</v>
      </c>
      <c r="L161" s="15">
        <f>Table14[[#This Row],[Sales]]-Table14[[#This Row],[Cost]]</f>
        <v>474.74999999999994</v>
      </c>
    </row>
    <row r="162" spans="1:12" x14ac:dyDescent="0.35">
      <c r="A162" t="s">
        <v>180</v>
      </c>
      <c r="B162" s="6">
        <v>45322</v>
      </c>
      <c r="C162" s="6" t="str">
        <f>TEXT(Table14[[#This Row],[Date]],"YYY")</f>
        <v>2024</v>
      </c>
      <c r="D162" s="6" t="str">
        <f>TEXT(Table14[[#This Row],[Date]],"MMMM")</f>
        <v>January</v>
      </c>
      <c r="E162" s="6" t="str">
        <f>"Q" &amp;ROUNDUP(MONTH(Table14[[#This Row],[Date]])/3,0)</f>
        <v>Q1</v>
      </c>
      <c r="F162" s="4" t="s">
        <v>9</v>
      </c>
      <c r="G162" s="4" t="s">
        <v>10</v>
      </c>
      <c r="H162" s="4" t="s">
        <v>21</v>
      </c>
      <c r="I162" s="15">
        <v>1359.04</v>
      </c>
      <c r="J162" s="17">
        <v>3</v>
      </c>
      <c r="K162" s="15">
        <v>406.36</v>
      </c>
      <c r="L162" s="15">
        <f>Table14[[#This Row],[Sales]]-Table14[[#This Row],[Cost]]</f>
        <v>952.68</v>
      </c>
    </row>
    <row r="163" spans="1:12" x14ac:dyDescent="0.35">
      <c r="A163" t="s">
        <v>181</v>
      </c>
      <c r="B163" s="6">
        <v>45029</v>
      </c>
      <c r="C163" s="6" t="str">
        <f>TEXT(Table14[[#This Row],[Date]],"YYY")</f>
        <v>2023</v>
      </c>
      <c r="D163" s="6" t="str">
        <f>TEXT(Table14[[#This Row],[Date]],"MMMM")</f>
        <v>April</v>
      </c>
      <c r="E163" s="6" t="str">
        <f>"Q" &amp;ROUNDUP(MONTH(Table14[[#This Row],[Date]])/3,0)</f>
        <v>Q2</v>
      </c>
      <c r="F163" s="4" t="s">
        <v>25</v>
      </c>
      <c r="G163" s="4" t="s">
        <v>16</v>
      </c>
      <c r="H163" s="4" t="s">
        <v>26</v>
      </c>
      <c r="I163" s="15">
        <v>1145.3399999999999</v>
      </c>
      <c r="J163" s="17">
        <v>8</v>
      </c>
      <c r="K163" s="15">
        <v>97.78</v>
      </c>
      <c r="L163" s="15">
        <f>Table14[[#This Row],[Sales]]-Table14[[#This Row],[Cost]]</f>
        <v>1047.56</v>
      </c>
    </row>
    <row r="164" spans="1:12" x14ac:dyDescent="0.35">
      <c r="A164" t="s">
        <v>182</v>
      </c>
      <c r="B164" s="6">
        <v>45346</v>
      </c>
      <c r="C164" s="6" t="str">
        <f>TEXT(Table14[[#This Row],[Date]],"YYY")</f>
        <v>2024</v>
      </c>
      <c r="D164" s="6" t="str">
        <f>TEXT(Table14[[#This Row],[Date]],"MMMM")</f>
        <v>February</v>
      </c>
      <c r="E164" s="6" t="str">
        <f>"Q" &amp;ROUNDUP(MONTH(Table14[[#This Row],[Date]])/3,0)</f>
        <v>Q1</v>
      </c>
      <c r="F164" s="4" t="s">
        <v>13</v>
      </c>
      <c r="G164" s="4" t="s">
        <v>10</v>
      </c>
      <c r="H164" s="4" t="s">
        <v>19</v>
      </c>
      <c r="I164" s="15">
        <v>332.12</v>
      </c>
      <c r="J164" s="17">
        <v>3</v>
      </c>
      <c r="K164" s="15">
        <v>78.37</v>
      </c>
      <c r="L164" s="15">
        <f>Table14[[#This Row],[Sales]]-Table14[[#This Row],[Cost]]</f>
        <v>253.75</v>
      </c>
    </row>
    <row r="165" spans="1:12" x14ac:dyDescent="0.35">
      <c r="A165" t="s">
        <v>183</v>
      </c>
      <c r="B165" s="6">
        <v>45565</v>
      </c>
      <c r="C165" s="6" t="str">
        <f>TEXT(Table14[[#This Row],[Date]],"YYY")</f>
        <v>2024</v>
      </c>
      <c r="D165" s="6" t="str">
        <f>TEXT(Table14[[#This Row],[Date]],"MMMM")</f>
        <v>September</v>
      </c>
      <c r="E165" s="6" t="str">
        <f>"Q" &amp;ROUNDUP(MONTH(Table14[[#This Row],[Date]])/3,0)</f>
        <v>Q3</v>
      </c>
      <c r="F165" s="4" t="s">
        <v>23</v>
      </c>
      <c r="G165" s="4" t="s">
        <v>16</v>
      </c>
      <c r="H165" s="4" t="s">
        <v>26</v>
      </c>
      <c r="I165" s="15">
        <v>5313.45</v>
      </c>
      <c r="J165" s="17">
        <v>7</v>
      </c>
      <c r="K165" s="15">
        <v>526.87</v>
      </c>
      <c r="L165" s="15">
        <f>Table14[[#This Row],[Sales]]-Table14[[#This Row],[Cost]]</f>
        <v>4786.58</v>
      </c>
    </row>
    <row r="166" spans="1:12" x14ac:dyDescent="0.35">
      <c r="A166" t="s">
        <v>184</v>
      </c>
      <c r="B166" s="6">
        <v>45251</v>
      </c>
      <c r="C166" s="6" t="str">
        <f>TEXT(Table14[[#This Row],[Date]],"YYY")</f>
        <v>2023</v>
      </c>
      <c r="D166" s="6" t="str">
        <f>TEXT(Table14[[#This Row],[Date]],"MMMM")</f>
        <v>November</v>
      </c>
      <c r="E166" s="6" t="str">
        <f>"Q" &amp;ROUNDUP(MONTH(Table14[[#This Row],[Date]])/3,0)</f>
        <v>Q4</v>
      </c>
      <c r="F166" s="4" t="s">
        <v>9</v>
      </c>
      <c r="G166" s="4" t="s">
        <v>10</v>
      </c>
      <c r="H166" s="4" t="s">
        <v>21</v>
      </c>
      <c r="I166" s="15">
        <v>6244.51</v>
      </c>
      <c r="J166" s="17">
        <v>8</v>
      </c>
      <c r="K166" s="15">
        <v>700.46</v>
      </c>
      <c r="L166" s="15">
        <f>Table14[[#This Row],[Sales]]-Table14[[#This Row],[Cost]]</f>
        <v>5544.05</v>
      </c>
    </row>
    <row r="167" spans="1:12" x14ac:dyDescent="0.35">
      <c r="A167" t="s">
        <v>185</v>
      </c>
      <c r="B167" s="6">
        <v>45573</v>
      </c>
      <c r="C167" s="6" t="str">
        <f>TEXT(Table14[[#This Row],[Date]],"YYY")</f>
        <v>2024</v>
      </c>
      <c r="D167" s="6" t="str">
        <f>TEXT(Table14[[#This Row],[Date]],"MMMM")</f>
        <v>October</v>
      </c>
      <c r="E167" s="6" t="str">
        <f>"Q" &amp;ROUNDUP(MONTH(Table14[[#This Row],[Date]])/3,0)</f>
        <v>Q4</v>
      </c>
      <c r="F167" s="4" t="s">
        <v>13</v>
      </c>
      <c r="G167" s="4" t="s">
        <v>10</v>
      </c>
      <c r="H167" s="4" t="s">
        <v>19</v>
      </c>
      <c r="I167" s="15">
        <v>5580.77</v>
      </c>
      <c r="J167" s="17">
        <v>5</v>
      </c>
      <c r="K167" s="15">
        <v>797.99</v>
      </c>
      <c r="L167" s="15">
        <f>Table14[[#This Row],[Sales]]-Table14[[#This Row],[Cost]]</f>
        <v>4782.7800000000007</v>
      </c>
    </row>
    <row r="168" spans="1:12" x14ac:dyDescent="0.35">
      <c r="A168" t="s">
        <v>186</v>
      </c>
      <c r="B168" s="6">
        <v>45575</v>
      </c>
      <c r="C168" s="6" t="str">
        <f>TEXT(Table14[[#This Row],[Date]],"YYY")</f>
        <v>2024</v>
      </c>
      <c r="D168" s="6" t="str">
        <f>TEXT(Table14[[#This Row],[Date]],"MMMM")</f>
        <v>October</v>
      </c>
      <c r="E168" s="6" t="str">
        <f>"Q" &amp;ROUNDUP(MONTH(Table14[[#This Row],[Date]])/3,0)</f>
        <v>Q4</v>
      </c>
      <c r="F168" s="4" t="s">
        <v>18</v>
      </c>
      <c r="G168" s="4" t="s">
        <v>10</v>
      </c>
      <c r="H168" s="4" t="s">
        <v>11</v>
      </c>
      <c r="I168" s="15">
        <v>1008.6</v>
      </c>
      <c r="J168" s="17">
        <v>2</v>
      </c>
      <c r="K168" s="15">
        <v>366.07</v>
      </c>
      <c r="L168" s="15">
        <f>Table14[[#This Row],[Sales]]-Table14[[#This Row],[Cost]]</f>
        <v>642.53</v>
      </c>
    </row>
    <row r="169" spans="1:12" x14ac:dyDescent="0.35">
      <c r="A169" t="s">
        <v>187</v>
      </c>
      <c r="B169" s="6">
        <v>45259</v>
      </c>
      <c r="C169" s="6" t="str">
        <f>TEXT(Table14[[#This Row],[Date]],"YYY")</f>
        <v>2023</v>
      </c>
      <c r="D169" s="6" t="str">
        <f>TEXT(Table14[[#This Row],[Date]],"MMMM")</f>
        <v>November</v>
      </c>
      <c r="E169" s="6" t="str">
        <f>"Q" &amp;ROUNDUP(MONTH(Table14[[#This Row],[Date]])/3,0)</f>
        <v>Q4</v>
      </c>
      <c r="F169" s="4" t="s">
        <v>13</v>
      </c>
      <c r="G169" s="4" t="s">
        <v>10</v>
      </c>
      <c r="H169" s="4" t="s">
        <v>11</v>
      </c>
      <c r="I169" s="15">
        <v>311.02</v>
      </c>
      <c r="J169" s="17">
        <v>1</v>
      </c>
      <c r="K169" s="15">
        <v>248.83</v>
      </c>
      <c r="L169" s="15">
        <f>Table14[[#This Row],[Sales]]-Table14[[#This Row],[Cost]]</f>
        <v>62.189999999999969</v>
      </c>
    </row>
    <row r="170" spans="1:12" x14ac:dyDescent="0.35">
      <c r="A170" t="s">
        <v>188</v>
      </c>
      <c r="B170" s="6">
        <v>45470</v>
      </c>
      <c r="C170" s="6" t="str">
        <f>TEXT(Table14[[#This Row],[Date]],"YYY")</f>
        <v>2024</v>
      </c>
      <c r="D170" s="6" t="str">
        <f>TEXT(Table14[[#This Row],[Date]],"MMMM")</f>
        <v>June</v>
      </c>
      <c r="E170" s="6" t="str">
        <f>"Q" &amp;ROUNDUP(MONTH(Table14[[#This Row],[Date]])/3,0)</f>
        <v>Q2</v>
      </c>
      <c r="F170" s="4" t="s">
        <v>15</v>
      </c>
      <c r="G170" s="4" t="s">
        <v>16</v>
      </c>
      <c r="H170" s="4" t="s">
        <v>19</v>
      </c>
      <c r="I170" s="15">
        <v>4576.8500000000004</v>
      </c>
      <c r="J170" s="17">
        <v>7</v>
      </c>
      <c r="K170" s="15">
        <v>461.42</v>
      </c>
      <c r="L170" s="15">
        <f>Table14[[#This Row],[Sales]]-Table14[[#This Row],[Cost]]</f>
        <v>4115.43</v>
      </c>
    </row>
    <row r="171" spans="1:12" x14ac:dyDescent="0.35">
      <c r="A171" t="s">
        <v>189</v>
      </c>
      <c r="B171" s="6">
        <v>45007</v>
      </c>
      <c r="C171" s="6" t="str">
        <f>TEXT(Table14[[#This Row],[Date]],"YYY")</f>
        <v>2023</v>
      </c>
      <c r="D171" s="6" t="str">
        <f>TEXT(Table14[[#This Row],[Date]],"MMMM")</f>
        <v>March</v>
      </c>
      <c r="E171" s="6" t="str">
        <f>"Q" &amp;ROUNDUP(MONTH(Table14[[#This Row],[Date]])/3,0)</f>
        <v>Q1</v>
      </c>
      <c r="F171" s="4" t="s">
        <v>15</v>
      </c>
      <c r="G171" s="4" t="s">
        <v>16</v>
      </c>
      <c r="H171" s="4" t="s">
        <v>19</v>
      </c>
      <c r="I171" s="15">
        <v>9425.08</v>
      </c>
      <c r="J171" s="17">
        <v>10</v>
      </c>
      <c r="K171" s="15">
        <v>699.25</v>
      </c>
      <c r="L171" s="15">
        <f>Table14[[#This Row],[Sales]]-Table14[[#This Row],[Cost]]</f>
        <v>8725.83</v>
      </c>
    </row>
    <row r="172" spans="1:12" x14ac:dyDescent="0.35">
      <c r="A172" t="s">
        <v>190</v>
      </c>
      <c r="B172" s="6">
        <v>45524</v>
      </c>
      <c r="C172" s="6" t="str">
        <f>TEXT(Table14[[#This Row],[Date]],"YYY")</f>
        <v>2024</v>
      </c>
      <c r="D172" s="6" t="str">
        <f>TEXT(Table14[[#This Row],[Date]],"MMMM")</f>
        <v>August</v>
      </c>
      <c r="E172" s="6" t="str">
        <f>"Q" &amp;ROUNDUP(MONTH(Table14[[#This Row],[Date]])/3,0)</f>
        <v>Q3</v>
      </c>
      <c r="F172" s="4" t="s">
        <v>15</v>
      </c>
      <c r="G172" s="4" t="s">
        <v>16</v>
      </c>
      <c r="H172" s="4" t="s">
        <v>21</v>
      </c>
      <c r="I172" s="15">
        <v>817.61</v>
      </c>
      <c r="J172" s="17">
        <v>3</v>
      </c>
      <c r="K172" s="15">
        <v>201.11</v>
      </c>
      <c r="L172" s="15">
        <f>Table14[[#This Row],[Sales]]-Table14[[#This Row],[Cost]]</f>
        <v>616.5</v>
      </c>
    </row>
    <row r="173" spans="1:12" x14ac:dyDescent="0.35">
      <c r="A173" t="s">
        <v>191</v>
      </c>
      <c r="B173" s="6">
        <v>45609</v>
      </c>
      <c r="C173" s="6" t="str">
        <f>TEXT(Table14[[#This Row],[Date]],"YYY")</f>
        <v>2024</v>
      </c>
      <c r="D173" s="6" t="str">
        <f>TEXT(Table14[[#This Row],[Date]],"MMMM")</f>
        <v>November</v>
      </c>
      <c r="E173" s="6" t="str">
        <f>"Q" &amp;ROUNDUP(MONTH(Table14[[#This Row],[Date]])/3,0)</f>
        <v>Q4</v>
      </c>
      <c r="F173" s="4" t="s">
        <v>18</v>
      </c>
      <c r="G173" s="4" t="s">
        <v>10</v>
      </c>
      <c r="H173" s="4" t="s">
        <v>26</v>
      </c>
      <c r="I173" s="15">
        <v>927.47</v>
      </c>
      <c r="J173" s="17">
        <v>1</v>
      </c>
      <c r="K173" s="15">
        <v>721.15</v>
      </c>
      <c r="L173" s="15">
        <f>Table14[[#This Row],[Sales]]-Table14[[#This Row],[Cost]]</f>
        <v>206.32000000000005</v>
      </c>
    </row>
    <row r="174" spans="1:12" x14ac:dyDescent="0.35">
      <c r="A174" t="s">
        <v>192</v>
      </c>
      <c r="B174" s="6">
        <v>45002</v>
      </c>
      <c r="C174" s="6" t="str">
        <f>TEXT(Table14[[#This Row],[Date]],"YYY")</f>
        <v>2023</v>
      </c>
      <c r="D174" s="6" t="str">
        <f>TEXT(Table14[[#This Row],[Date]],"MMMM")</f>
        <v>March</v>
      </c>
      <c r="E174" s="6" t="str">
        <f>"Q" &amp;ROUNDUP(MONTH(Table14[[#This Row],[Date]])/3,0)</f>
        <v>Q1</v>
      </c>
      <c r="F174" s="4" t="s">
        <v>23</v>
      </c>
      <c r="G174" s="4" t="s">
        <v>16</v>
      </c>
      <c r="H174" s="4" t="s">
        <v>19</v>
      </c>
      <c r="I174" s="15">
        <v>9057.44</v>
      </c>
      <c r="J174" s="17">
        <v>8</v>
      </c>
      <c r="K174" s="15">
        <v>757.28</v>
      </c>
      <c r="L174" s="15">
        <f>Table14[[#This Row],[Sales]]-Table14[[#This Row],[Cost]]</f>
        <v>8300.16</v>
      </c>
    </row>
    <row r="175" spans="1:12" x14ac:dyDescent="0.35">
      <c r="A175" t="s">
        <v>193</v>
      </c>
      <c r="B175" s="6">
        <v>45633</v>
      </c>
      <c r="C175" s="6" t="str">
        <f>TEXT(Table14[[#This Row],[Date]],"YYY")</f>
        <v>2024</v>
      </c>
      <c r="D175" s="6" t="str">
        <f>TEXT(Table14[[#This Row],[Date]],"MMMM")</f>
        <v>December</v>
      </c>
      <c r="E175" s="6" t="str">
        <f>"Q" &amp;ROUNDUP(MONTH(Table14[[#This Row],[Date]])/3,0)</f>
        <v>Q4</v>
      </c>
      <c r="F175" s="4" t="s">
        <v>23</v>
      </c>
      <c r="G175" s="4" t="s">
        <v>16</v>
      </c>
      <c r="H175" s="4" t="s">
        <v>21</v>
      </c>
      <c r="I175" s="15">
        <v>2297.21</v>
      </c>
      <c r="J175" s="17">
        <v>5</v>
      </c>
      <c r="K175" s="15">
        <v>376.33</v>
      </c>
      <c r="L175" s="15">
        <f>Table14[[#This Row],[Sales]]-Table14[[#This Row],[Cost]]</f>
        <v>1920.88</v>
      </c>
    </row>
    <row r="176" spans="1:12" x14ac:dyDescent="0.35">
      <c r="A176" t="s">
        <v>194</v>
      </c>
      <c r="B176" s="6">
        <v>45036</v>
      </c>
      <c r="C176" s="6" t="str">
        <f>TEXT(Table14[[#This Row],[Date]],"YYY")</f>
        <v>2023</v>
      </c>
      <c r="D176" s="6" t="str">
        <f>TEXT(Table14[[#This Row],[Date]],"MMMM")</f>
        <v>April</v>
      </c>
      <c r="E176" s="6" t="str">
        <f>"Q" &amp;ROUNDUP(MONTH(Table14[[#This Row],[Date]])/3,0)</f>
        <v>Q2</v>
      </c>
      <c r="F176" s="4" t="s">
        <v>18</v>
      </c>
      <c r="G176" s="4" t="s">
        <v>10</v>
      </c>
      <c r="H176" s="4" t="s">
        <v>21</v>
      </c>
      <c r="I176" s="15">
        <v>1579.15</v>
      </c>
      <c r="J176" s="17">
        <v>4</v>
      </c>
      <c r="K176" s="15">
        <v>317.45999999999998</v>
      </c>
      <c r="L176" s="15">
        <f>Table14[[#This Row],[Sales]]-Table14[[#This Row],[Cost]]</f>
        <v>1261.69</v>
      </c>
    </row>
    <row r="177" spans="1:12" x14ac:dyDescent="0.35">
      <c r="A177" t="s">
        <v>195</v>
      </c>
      <c r="B177" s="6">
        <v>44949</v>
      </c>
      <c r="C177" s="6" t="str">
        <f>TEXT(Table14[[#This Row],[Date]],"YYY")</f>
        <v>2023</v>
      </c>
      <c r="D177" s="6" t="str">
        <f>TEXT(Table14[[#This Row],[Date]],"MMMM")</f>
        <v>January</v>
      </c>
      <c r="E177" s="6" t="str">
        <f>"Q" &amp;ROUNDUP(MONTH(Table14[[#This Row],[Date]])/3,0)</f>
        <v>Q1</v>
      </c>
      <c r="F177" s="4" t="s">
        <v>23</v>
      </c>
      <c r="G177" s="4" t="s">
        <v>16</v>
      </c>
      <c r="H177" s="4" t="s">
        <v>26</v>
      </c>
      <c r="I177" s="15">
        <v>2173.4299999999998</v>
      </c>
      <c r="J177" s="17">
        <v>7</v>
      </c>
      <c r="K177" s="15">
        <v>234.09</v>
      </c>
      <c r="L177" s="15">
        <f>Table14[[#This Row],[Sales]]-Table14[[#This Row],[Cost]]</f>
        <v>1939.34</v>
      </c>
    </row>
    <row r="178" spans="1:12" x14ac:dyDescent="0.35">
      <c r="A178" t="s">
        <v>196</v>
      </c>
      <c r="B178" s="6">
        <v>45547</v>
      </c>
      <c r="C178" s="6" t="str">
        <f>TEXT(Table14[[#This Row],[Date]],"YYY")</f>
        <v>2024</v>
      </c>
      <c r="D178" s="6" t="str">
        <f>TEXT(Table14[[#This Row],[Date]],"MMMM")</f>
        <v>September</v>
      </c>
      <c r="E178" s="6" t="str">
        <f>"Q" &amp;ROUNDUP(MONTH(Table14[[#This Row],[Date]])/3,0)</f>
        <v>Q3</v>
      </c>
      <c r="F178" s="4" t="s">
        <v>9</v>
      </c>
      <c r="G178" s="4" t="s">
        <v>10</v>
      </c>
      <c r="H178" s="4" t="s">
        <v>11</v>
      </c>
      <c r="I178" s="15">
        <v>7827.33</v>
      </c>
      <c r="J178" s="17">
        <v>8</v>
      </c>
      <c r="K178" s="15">
        <v>669.61</v>
      </c>
      <c r="L178" s="15">
        <f>Table14[[#This Row],[Sales]]-Table14[[#This Row],[Cost]]</f>
        <v>7157.72</v>
      </c>
    </row>
    <row r="179" spans="1:12" x14ac:dyDescent="0.35">
      <c r="A179" t="s">
        <v>197</v>
      </c>
      <c r="B179" s="6">
        <v>45151</v>
      </c>
      <c r="C179" s="6" t="str">
        <f>TEXT(Table14[[#This Row],[Date]],"YYY")</f>
        <v>2023</v>
      </c>
      <c r="D179" s="6" t="str">
        <f>TEXT(Table14[[#This Row],[Date]],"MMMM")</f>
        <v>August</v>
      </c>
      <c r="E179" s="6" t="str">
        <f>"Q" &amp;ROUNDUP(MONTH(Table14[[#This Row],[Date]])/3,0)</f>
        <v>Q3</v>
      </c>
      <c r="F179" s="4" t="s">
        <v>15</v>
      </c>
      <c r="G179" s="4" t="s">
        <v>16</v>
      </c>
      <c r="H179" s="4" t="s">
        <v>26</v>
      </c>
      <c r="I179" s="15">
        <v>2765.79</v>
      </c>
      <c r="J179" s="17">
        <v>4</v>
      </c>
      <c r="K179" s="15">
        <v>504.3</v>
      </c>
      <c r="L179" s="15">
        <f>Table14[[#This Row],[Sales]]-Table14[[#This Row],[Cost]]</f>
        <v>2261.4899999999998</v>
      </c>
    </row>
    <row r="180" spans="1:12" x14ac:dyDescent="0.35">
      <c r="A180" t="s">
        <v>198</v>
      </c>
      <c r="B180" s="6">
        <v>45570</v>
      </c>
      <c r="C180" s="6" t="str">
        <f>TEXT(Table14[[#This Row],[Date]],"YYY")</f>
        <v>2024</v>
      </c>
      <c r="D180" s="6" t="str">
        <f>TEXT(Table14[[#This Row],[Date]],"MMMM")</f>
        <v>October</v>
      </c>
      <c r="E180" s="6" t="str">
        <f>"Q" &amp;ROUNDUP(MONTH(Table14[[#This Row],[Date]])/3,0)</f>
        <v>Q4</v>
      </c>
      <c r="F180" s="4" t="s">
        <v>9</v>
      </c>
      <c r="G180" s="4" t="s">
        <v>10</v>
      </c>
      <c r="H180" s="4" t="s">
        <v>19</v>
      </c>
      <c r="I180" s="15">
        <v>1968.93</v>
      </c>
      <c r="J180" s="17">
        <v>2</v>
      </c>
      <c r="K180" s="15">
        <v>724.65</v>
      </c>
      <c r="L180" s="15">
        <f>Table14[[#This Row],[Sales]]-Table14[[#This Row],[Cost]]</f>
        <v>1244.2800000000002</v>
      </c>
    </row>
    <row r="181" spans="1:12" x14ac:dyDescent="0.35">
      <c r="A181" t="s">
        <v>199</v>
      </c>
      <c r="B181" s="6">
        <v>44961</v>
      </c>
      <c r="C181" s="6" t="str">
        <f>TEXT(Table14[[#This Row],[Date]],"YYY")</f>
        <v>2023</v>
      </c>
      <c r="D181" s="6" t="str">
        <f>TEXT(Table14[[#This Row],[Date]],"MMMM")</f>
        <v>February</v>
      </c>
      <c r="E181" s="6" t="str">
        <f>"Q" &amp;ROUNDUP(MONTH(Table14[[#This Row],[Date]])/3,0)</f>
        <v>Q1</v>
      </c>
      <c r="F181" s="4" t="s">
        <v>23</v>
      </c>
      <c r="G181" s="4" t="s">
        <v>16</v>
      </c>
      <c r="H181" s="4" t="s">
        <v>21</v>
      </c>
      <c r="I181" s="15">
        <v>3510.6</v>
      </c>
      <c r="J181" s="17">
        <v>10</v>
      </c>
      <c r="K181" s="15">
        <v>304.58999999999997</v>
      </c>
      <c r="L181" s="15">
        <f>Table14[[#This Row],[Sales]]-Table14[[#This Row],[Cost]]</f>
        <v>3206.0099999999998</v>
      </c>
    </row>
    <row r="182" spans="1:12" x14ac:dyDescent="0.35">
      <c r="A182" t="s">
        <v>200</v>
      </c>
      <c r="B182" s="6">
        <v>45352</v>
      </c>
      <c r="C182" s="6" t="str">
        <f>TEXT(Table14[[#This Row],[Date]],"YYY")</f>
        <v>2024</v>
      </c>
      <c r="D182" s="6" t="str">
        <f>TEXT(Table14[[#This Row],[Date]],"MMMM")</f>
        <v>March</v>
      </c>
      <c r="E182" s="6" t="str">
        <f>"Q" &amp;ROUNDUP(MONTH(Table14[[#This Row],[Date]])/3,0)</f>
        <v>Q1</v>
      </c>
      <c r="F182" s="4" t="s">
        <v>23</v>
      </c>
      <c r="G182" s="4" t="s">
        <v>16</v>
      </c>
      <c r="H182" s="4" t="s">
        <v>26</v>
      </c>
      <c r="I182" s="15">
        <v>749.54</v>
      </c>
      <c r="J182" s="17">
        <v>3</v>
      </c>
      <c r="K182" s="15">
        <v>176.62</v>
      </c>
      <c r="L182" s="15">
        <f>Table14[[#This Row],[Sales]]-Table14[[#This Row],[Cost]]</f>
        <v>572.91999999999996</v>
      </c>
    </row>
    <row r="183" spans="1:12" x14ac:dyDescent="0.35">
      <c r="A183" t="s">
        <v>201</v>
      </c>
      <c r="B183" s="6">
        <v>45095</v>
      </c>
      <c r="C183" s="6" t="str">
        <f>TEXT(Table14[[#This Row],[Date]],"YYY")</f>
        <v>2023</v>
      </c>
      <c r="D183" s="6" t="str">
        <f>TEXT(Table14[[#This Row],[Date]],"MMMM")</f>
        <v>June</v>
      </c>
      <c r="E183" s="6" t="str">
        <f>"Q" &amp;ROUNDUP(MONTH(Table14[[#This Row],[Date]])/3,0)</f>
        <v>Q2</v>
      </c>
      <c r="F183" s="4" t="s">
        <v>23</v>
      </c>
      <c r="G183" s="4" t="s">
        <v>16</v>
      </c>
      <c r="H183" s="4" t="s">
        <v>26</v>
      </c>
      <c r="I183" s="15">
        <v>5415.38</v>
      </c>
      <c r="J183" s="17">
        <v>5</v>
      </c>
      <c r="K183" s="15">
        <v>732.96</v>
      </c>
      <c r="L183" s="15">
        <f>Table14[[#This Row],[Sales]]-Table14[[#This Row],[Cost]]</f>
        <v>4682.42</v>
      </c>
    </row>
    <row r="184" spans="1:12" x14ac:dyDescent="0.35">
      <c r="A184" t="s">
        <v>202</v>
      </c>
      <c r="B184" s="6">
        <v>45044</v>
      </c>
      <c r="C184" s="6" t="str">
        <f>TEXT(Table14[[#This Row],[Date]],"YYY")</f>
        <v>2023</v>
      </c>
      <c r="D184" s="6" t="str">
        <f>TEXT(Table14[[#This Row],[Date]],"MMMM")</f>
        <v>April</v>
      </c>
      <c r="E184" s="6" t="str">
        <f>"Q" &amp;ROUNDUP(MONTH(Table14[[#This Row],[Date]])/3,0)</f>
        <v>Q2</v>
      </c>
      <c r="F184" s="4" t="s">
        <v>23</v>
      </c>
      <c r="G184" s="4" t="s">
        <v>16</v>
      </c>
      <c r="H184" s="4" t="s">
        <v>26</v>
      </c>
      <c r="I184" s="15">
        <v>7132.63</v>
      </c>
      <c r="J184" s="17">
        <v>8</v>
      </c>
      <c r="K184" s="15">
        <v>771.06</v>
      </c>
      <c r="L184" s="15">
        <f>Table14[[#This Row],[Sales]]-Table14[[#This Row],[Cost]]</f>
        <v>6361.57</v>
      </c>
    </row>
    <row r="185" spans="1:12" x14ac:dyDescent="0.35">
      <c r="A185" t="s">
        <v>203</v>
      </c>
      <c r="B185" s="6">
        <v>45497</v>
      </c>
      <c r="C185" s="6" t="str">
        <f>TEXT(Table14[[#This Row],[Date]],"YYY")</f>
        <v>2024</v>
      </c>
      <c r="D185" s="6" t="str">
        <f>TEXT(Table14[[#This Row],[Date]],"MMMM")</f>
        <v>July</v>
      </c>
      <c r="E185" s="6" t="str">
        <f>"Q" &amp;ROUNDUP(MONTH(Table14[[#This Row],[Date]])/3,0)</f>
        <v>Q3</v>
      </c>
      <c r="F185" s="4" t="s">
        <v>15</v>
      </c>
      <c r="G185" s="4" t="s">
        <v>16</v>
      </c>
      <c r="H185" s="4" t="s">
        <v>21</v>
      </c>
      <c r="I185" s="15">
        <v>682.55</v>
      </c>
      <c r="J185" s="17">
        <v>6</v>
      </c>
      <c r="K185" s="15">
        <v>90.44</v>
      </c>
      <c r="L185" s="15">
        <f>Table14[[#This Row],[Sales]]-Table14[[#This Row],[Cost]]</f>
        <v>592.1099999999999</v>
      </c>
    </row>
    <row r="186" spans="1:12" x14ac:dyDescent="0.35">
      <c r="A186" t="s">
        <v>204</v>
      </c>
      <c r="B186" s="6">
        <v>45392</v>
      </c>
      <c r="C186" s="6" t="str">
        <f>TEXT(Table14[[#This Row],[Date]],"YYY")</f>
        <v>2024</v>
      </c>
      <c r="D186" s="6" t="str">
        <f>TEXT(Table14[[#This Row],[Date]],"MMMM")</f>
        <v>April</v>
      </c>
      <c r="E186" s="6" t="str">
        <f>"Q" &amp;ROUNDUP(MONTH(Table14[[#This Row],[Date]])/3,0)</f>
        <v>Q2</v>
      </c>
      <c r="F186" s="4" t="s">
        <v>23</v>
      </c>
      <c r="G186" s="4" t="s">
        <v>16</v>
      </c>
      <c r="H186" s="4" t="s">
        <v>11</v>
      </c>
      <c r="I186" s="15">
        <v>4474.8599999999997</v>
      </c>
      <c r="J186" s="17">
        <v>6</v>
      </c>
      <c r="K186" s="15">
        <v>544.80999999999995</v>
      </c>
      <c r="L186" s="15">
        <f>Table14[[#This Row],[Sales]]-Table14[[#This Row],[Cost]]</f>
        <v>3930.0499999999997</v>
      </c>
    </row>
    <row r="187" spans="1:12" x14ac:dyDescent="0.35">
      <c r="A187" t="s">
        <v>205</v>
      </c>
      <c r="B187" s="6">
        <v>45580</v>
      </c>
      <c r="C187" s="6" t="str">
        <f>TEXT(Table14[[#This Row],[Date]],"YYY")</f>
        <v>2024</v>
      </c>
      <c r="D187" s="6" t="str">
        <f>TEXT(Table14[[#This Row],[Date]],"MMMM")</f>
        <v>October</v>
      </c>
      <c r="E187" s="6" t="str">
        <f>"Q" &amp;ROUNDUP(MONTH(Table14[[#This Row],[Date]])/3,0)</f>
        <v>Q4</v>
      </c>
      <c r="F187" s="4" t="s">
        <v>25</v>
      </c>
      <c r="G187" s="4" t="s">
        <v>16</v>
      </c>
      <c r="H187" s="4" t="s">
        <v>21</v>
      </c>
      <c r="I187" s="15">
        <v>748.41</v>
      </c>
      <c r="J187" s="17">
        <v>6</v>
      </c>
      <c r="K187" s="15">
        <v>104.51</v>
      </c>
      <c r="L187" s="15">
        <f>Table14[[#This Row],[Sales]]-Table14[[#This Row],[Cost]]</f>
        <v>643.9</v>
      </c>
    </row>
    <row r="188" spans="1:12" x14ac:dyDescent="0.35">
      <c r="A188" t="s">
        <v>206</v>
      </c>
      <c r="B188" s="6">
        <v>45551</v>
      </c>
      <c r="C188" s="6" t="str">
        <f>TEXT(Table14[[#This Row],[Date]],"YYY")</f>
        <v>2024</v>
      </c>
      <c r="D188" s="6" t="str">
        <f>TEXT(Table14[[#This Row],[Date]],"MMMM")</f>
        <v>September</v>
      </c>
      <c r="E188" s="6" t="str">
        <f>"Q" &amp;ROUNDUP(MONTH(Table14[[#This Row],[Date]])/3,0)</f>
        <v>Q3</v>
      </c>
      <c r="F188" s="4" t="s">
        <v>13</v>
      </c>
      <c r="G188" s="4" t="s">
        <v>10</v>
      </c>
      <c r="H188" s="4" t="s">
        <v>26</v>
      </c>
      <c r="I188" s="15">
        <v>2844.66</v>
      </c>
      <c r="J188" s="17">
        <v>4</v>
      </c>
      <c r="K188" s="15">
        <v>525.16999999999996</v>
      </c>
      <c r="L188" s="15">
        <f>Table14[[#This Row],[Sales]]-Table14[[#This Row],[Cost]]</f>
        <v>2319.4899999999998</v>
      </c>
    </row>
    <row r="189" spans="1:12" x14ac:dyDescent="0.35">
      <c r="A189" t="s">
        <v>207</v>
      </c>
      <c r="B189" s="6">
        <v>45591</v>
      </c>
      <c r="C189" s="6" t="str">
        <f>TEXT(Table14[[#This Row],[Date]],"YYY")</f>
        <v>2024</v>
      </c>
      <c r="D189" s="6" t="str">
        <f>TEXT(Table14[[#This Row],[Date]],"MMMM")</f>
        <v>October</v>
      </c>
      <c r="E189" s="6" t="str">
        <f>"Q" &amp;ROUNDUP(MONTH(Table14[[#This Row],[Date]])/3,0)</f>
        <v>Q4</v>
      </c>
      <c r="F189" s="4" t="s">
        <v>18</v>
      </c>
      <c r="G189" s="4" t="s">
        <v>10</v>
      </c>
      <c r="H189" s="4" t="s">
        <v>26</v>
      </c>
      <c r="I189" s="15">
        <v>868.87</v>
      </c>
      <c r="J189" s="17">
        <v>7</v>
      </c>
      <c r="K189" s="15">
        <v>111.01</v>
      </c>
      <c r="L189" s="15">
        <f>Table14[[#This Row],[Sales]]-Table14[[#This Row],[Cost]]</f>
        <v>757.86</v>
      </c>
    </row>
    <row r="190" spans="1:12" x14ac:dyDescent="0.35">
      <c r="A190" t="s">
        <v>208</v>
      </c>
      <c r="B190" s="6">
        <v>45431</v>
      </c>
      <c r="C190" s="6" t="str">
        <f>TEXT(Table14[[#This Row],[Date]],"YYY")</f>
        <v>2024</v>
      </c>
      <c r="D190" s="6" t="str">
        <f>TEXT(Table14[[#This Row],[Date]],"MMMM")</f>
        <v>May</v>
      </c>
      <c r="E190" s="6" t="str">
        <f>"Q" &amp;ROUNDUP(MONTH(Table14[[#This Row],[Date]])/3,0)</f>
        <v>Q2</v>
      </c>
      <c r="F190" s="4" t="s">
        <v>13</v>
      </c>
      <c r="G190" s="4" t="s">
        <v>10</v>
      </c>
      <c r="H190" s="4" t="s">
        <v>26</v>
      </c>
      <c r="I190" s="15">
        <v>278.79000000000002</v>
      </c>
      <c r="J190" s="17">
        <v>2</v>
      </c>
      <c r="K190" s="15">
        <v>95.81</v>
      </c>
      <c r="L190" s="15">
        <f>Table14[[#This Row],[Sales]]-Table14[[#This Row],[Cost]]</f>
        <v>182.98000000000002</v>
      </c>
    </row>
    <row r="191" spans="1:12" x14ac:dyDescent="0.35">
      <c r="A191" t="s">
        <v>209</v>
      </c>
      <c r="B191" s="6">
        <v>45391</v>
      </c>
      <c r="C191" s="6" t="str">
        <f>TEXT(Table14[[#This Row],[Date]],"YYY")</f>
        <v>2024</v>
      </c>
      <c r="D191" s="6" t="str">
        <f>TEXT(Table14[[#This Row],[Date]],"MMMM")</f>
        <v>April</v>
      </c>
      <c r="E191" s="6" t="str">
        <f>"Q" &amp;ROUNDUP(MONTH(Table14[[#This Row],[Date]])/3,0)</f>
        <v>Q2</v>
      </c>
      <c r="F191" s="4" t="s">
        <v>15</v>
      </c>
      <c r="G191" s="4" t="s">
        <v>16</v>
      </c>
      <c r="H191" s="4" t="s">
        <v>21</v>
      </c>
      <c r="I191" s="15">
        <v>4552.09</v>
      </c>
      <c r="J191" s="17">
        <v>6</v>
      </c>
      <c r="K191" s="15">
        <v>542.98</v>
      </c>
      <c r="L191" s="15">
        <f>Table14[[#This Row],[Sales]]-Table14[[#This Row],[Cost]]</f>
        <v>4009.11</v>
      </c>
    </row>
    <row r="192" spans="1:12" x14ac:dyDescent="0.35">
      <c r="A192" t="s">
        <v>210</v>
      </c>
      <c r="B192" s="6">
        <v>45528</v>
      </c>
      <c r="C192" s="6" t="str">
        <f>TEXT(Table14[[#This Row],[Date]],"YYY")</f>
        <v>2024</v>
      </c>
      <c r="D192" s="6" t="str">
        <f>TEXT(Table14[[#This Row],[Date]],"MMMM")</f>
        <v>August</v>
      </c>
      <c r="E192" s="6" t="str">
        <f>"Q" &amp;ROUNDUP(MONTH(Table14[[#This Row],[Date]])/3,0)</f>
        <v>Q3</v>
      </c>
      <c r="F192" s="4" t="s">
        <v>25</v>
      </c>
      <c r="G192" s="4" t="s">
        <v>16</v>
      </c>
      <c r="H192" s="4" t="s">
        <v>21</v>
      </c>
      <c r="I192" s="15">
        <v>2903.53</v>
      </c>
      <c r="J192" s="17">
        <v>3</v>
      </c>
      <c r="K192" s="15">
        <v>710.62</v>
      </c>
      <c r="L192" s="15">
        <f>Table14[[#This Row],[Sales]]-Table14[[#This Row],[Cost]]</f>
        <v>2192.9100000000003</v>
      </c>
    </row>
    <row r="193" spans="1:12" x14ac:dyDescent="0.35">
      <c r="A193" t="s">
        <v>211</v>
      </c>
      <c r="B193" s="6">
        <v>45213</v>
      </c>
      <c r="C193" s="6" t="str">
        <f>TEXT(Table14[[#This Row],[Date]],"YYY")</f>
        <v>2023</v>
      </c>
      <c r="D193" s="6" t="str">
        <f>TEXT(Table14[[#This Row],[Date]],"MMMM")</f>
        <v>October</v>
      </c>
      <c r="E193" s="6" t="str">
        <f>"Q" &amp;ROUNDUP(MONTH(Table14[[#This Row],[Date]])/3,0)</f>
        <v>Q4</v>
      </c>
      <c r="F193" s="4" t="s">
        <v>18</v>
      </c>
      <c r="G193" s="4" t="s">
        <v>10</v>
      </c>
      <c r="H193" s="4" t="s">
        <v>21</v>
      </c>
      <c r="I193" s="15">
        <v>662.79</v>
      </c>
      <c r="J193" s="17">
        <v>1</v>
      </c>
      <c r="K193" s="15">
        <v>558.41999999999996</v>
      </c>
      <c r="L193" s="15">
        <f>Table14[[#This Row],[Sales]]-Table14[[#This Row],[Cost]]</f>
        <v>104.37</v>
      </c>
    </row>
    <row r="194" spans="1:12" x14ac:dyDescent="0.35">
      <c r="A194" t="s">
        <v>212</v>
      </c>
      <c r="B194" s="6">
        <v>45298</v>
      </c>
      <c r="C194" s="6" t="str">
        <f>TEXT(Table14[[#This Row],[Date]],"YYY")</f>
        <v>2024</v>
      </c>
      <c r="D194" s="6" t="str">
        <f>TEXT(Table14[[#This Row],[Date]],"MMMM")</f>
        <v>January</v>
      </c>
      <c r="E194" s="6" t="str">
        <f>"Q" &amp;ROUNDUP(MONTH(Table14[[#This Row],[Date]])/3,0)</f>
        <v>Q1</v>
      </c>
      <c r="F194" s="4" t="s">
        <v>18</v>
      </c>
      <c r="G194" s="4" t="s">
        <v>10</v>
      </c>
      <c r="H194" s="4" t="s">
        <v>19</v>
      </c>
      <c r="I194" s="15">
        <v>1957.99</v>
      </c>
      <c r="J194" s="17">
        <v>2</v>
      </c>
      <c r="K194" s="15">
        <v>785.12</v>
      </c>
      <c r="L194" s="15">
        <f>Table14[[#This Row],[Sales]]-Table14[[#This Row],[Cost]]</f>
        <v>1172.8699999999999</v>
      </c>
    </row>
    <row r="195" spans="1:12" x14ac:dyDescent="0.35">
      <c r="A195" t="s">
        <v>213</v>
      </c>
      <c r="B195" s="6">
        <v>44989</v>
      </c>
      <c r="C195" s="6" t="str">
        <f>TEXT(Table14[[#This Row],[Date]],"YYY")</f>
        <v>2023</v>
      </c>
      <c r="D195" s="6" t="str">
        <f>TEXT(Table14[[#This Row],[Date]],"MMMM")</f>
        <v>March</v>
      </c>
      <c r="E195" s="6" t="str">
        <f>"Q" &amp;ROUNDUP(MONTH(Table14[[#This Row],[Date]])/3,0)</f>
        <v>Q1</v>
      </c>
      <c r="F195" s="4" t="s">
        <v>9</v>
      </c>
      <c r="G195" s="4" t="s">
        <v>10</v>
      </c>
      <c r="H195" s="4" t="s">
        <v>26</v>
      </c>
      <c r="I195" s="15">
        <v>2448.56</v>
      </c>
      <c r="J195" s="17">
        <v>7</v>
      </c>
      <c r="K195" s="15">
        <v>235.19</v>
      </c>
      <c r="L195" s="15">
        <f>Table14[[#This Row],[Sales]]-Table14[[#This Row],[Cost]]</f>
        <v>2213.37</v>
      </c>
    </row>
    <row r="196" spans="1:12" x14ac:dyDescent="0.35">
      <c r="A196" t="s">
        <v>214</v>
      </c>
      <c r="B196" s="6">
        <v>45605</v>
      </c>
      <c r="C196" s="6" t="str">
        <f>TEXT(Table14[[#This Row],[Date]],"YYY")</f>
        <v>2024</v>
      </c>
      <c r="D196" s="6" t="str">
        <f>TEXT(Table14[[#This Row],[Date]],"MMMM")</f>
        <v>November</v>
      </c>
      <c r="E196" s="6" t="str">
        <f>"Q" &amp;ROUNDUP(MONTH(Table14[[#This Row],[Date]])/3,0)</f>
        <v>Q4</v>
      </c>
      <c r="F196" s="4" t="s">
        <v>18</v>
      </c>
      <c r="G196" s="4" t="s">
        <v>10</v>
      </c>
      <c r="H196" s="4" t="s">
        <v>11</v>
      </c>
      <c r="I196" s="15">
        <v>2787.66</v>
      </c>
      <c r="J196" s="17">
        <v>4</v>
      </c>
      <c r="K196" s="15">
        <v>520.53</v>
      </c>
      <c r="L196" s="15">
        <f>Table14[[#This Row],[Sales]]-Table14[[#This Row],[Cost]]</f>
        <v>2267.13</v>
      </c>
    </row>
    <row r="197" spans="1:12" x14ac:dyDescent="0.35">
      <c r="A197" t="s">
        <v>215</v>
      </c>
      <c r="B197" s="6">
        <v>45268</v>
      </c>
      <c r="C197" s="6" t="str">
        <f>TEXT(Table14[[#This Row],[Date]],"YYY")</f>
        <v>2023</v>
      </c>
      <c r="D197" s="6" t="str">
        <f>TEXT(Table14[[#This Row],[Date]],"MMMM")</f>
        <v>December</v>
      </c>
      <c r="E197" s="6" t="str">
        <f>"Q" &amp;ROUNDUP(MONTH(Table14[[#This Row],[Date]])/3,0)</f>
        <v>Q4</v>
      </c>
      <c r="F197" s="4" t="s">
        <v>13</v>
      </c>
      <c r="G197" s="4" t="s">
        <v>10</v>
      </c>
      <c r="H197" s="4" t="s">
        <v>11</v>
      </c>
      <c r="I197" s="15">
        <v>4477.9799999999996</v>
      </c>
      <c r="J197" s="17">
        <v>4</v>
      </c>
      <c r="K197" s="15">
        <v>791.28</v>
      </c>
      <c r="L197" s="15">
        <f>Table14[[#This Row],[Sales]]-Table14[[#This Row],[Cost]]</f>
        <v>3686.7</v>
      </c>
    </row>
    <row r="198" spans="1:12" x14ac:dyDescent="0.35">
      <c r="A198" t="s">
        <v>216</v>
      </c>
      <c r="B198" s="6">
        <v>45494</v>
      </c>
      <c r="C198" s="6" t="str">
        <f>TEXT(Table14[[#This Row],[Date]],"YYY")</f>
        <v>2024</v>
      </c>
      <c r="D198" s="6" t="str">
        <f>TEXT(Table14[[#This Row],[Date]],"MMMM")</f>
        <v>July</v>
      </c>
      <c r="E198" s="6" t="str">
        <f>"Q" &amp;ROUNDUP(MONTH(Table14[[#This Row],[Date]])/3,0)</f>
        <v>Q3</v>
      </c>
      <c r="F198" s="4" t="s">
        <v>15</v>
      </c>
      <c r="G198" s="4" t="s">
        <v>16</v>
      </c>
      <c r="H198" s="4" t="s">
        <v>11</v>
      </c>
      <c r="I198" s="15">
        <v>2721.49</v>
      </c>
      <c r="J198" s="17">
        <v>4</v>
      </c>
      <c r="K198" s="15">
        <v>477.38</v>
      </c>
      <c r="L198" s="15">
        <f>Table14[[#This Row],[Sales]]-Table14[[#This Row],[Cost]]</f>
        <v>2244.1099999999997</v>
      </c>
    </row>
    <row r="199" spans="1:12" x14ac:dyDescent="0.35">
      <c r="A199" t="s">
        <v>217</v>
      </c>
      <c r="B199" s="6">
        <v>45078</v>
      </c>
      <c r="C199" s="6" t="str">
        <f>TEXT(Table14[[#This Row],[Date]],"YYY")</f>
        <v>2023</v>
      </c>
      <c r="D199" s="6" t="str">
        <f>TEXT(Table14[[#This Row],[Date]],"MMMM")</f>
        <v>June</v>
      </c>
      <c r="E199" s="6" t="str">
        <f>"Q" &amp;ROUNDUP(MONTH(Table14[[#This Row],[Date]])/3,0)</f>
        <v>Q2</v>
      </c>
      <c r="F199" s="4" t="s">
        <v>15</v>
      </c>
      <c r="G199" s="4" t="s">
        <v>16</v>
      </c>
      <c r="H199" s="4" t="s">
        <v>26</v>
      </c>
      <c r="I199" s="15">
        <v>320.57</v>
      </c>
      <c r="J199" s="17">
        <v>10</v>
      </c>
      <c r="K199" s="15">
        <v>22.21</v>
      </c>
      <c r="L199" s="15">
        <f>Table14[[#This Row],[Sales]]-Table14[[#This Row],[Cost]]</f>
        <v>298.36</v>
      </c>
    </row>
    <row r="200" spans="1:12" x14ac:dyDescent="0.35">
      <c r="A200" t="s">
        <v>218</v>
      </c>
      <c r="B200" s="6">
        <v>45480</v>
      </c>
      <c r="C200" s="6" t="str">
        <f>TEXT(Table14[[#This Row],[Date]],"YYY")</f>
        <v>2024</v>
      </c>
      <c r="D200" s="6" t="str">
        <f>TEXT(Table14[[#This Row],[Date]],"MMMM")</f>
        <v>July</v>
      </c>
      <c r="E200" s="6" t="str">
        <f>"Q" &amp;ROUNDUP(MONTH(Table14[[#This Row],[Date]])/3,0)</f>
        <v>Q3</v>
      </c>
      <c r="F200" s="4" t="s">
        <v>15</v>
      </c>
      <c r="G200" s="4" t="s">
        <v>16</v>
      </c>
      <c r="H200" s="4" t="s">
        <v>19</v>
      </c>
      <c r="I200" s="15">
        <v>3676.95</v>
      </c>
      <c r="J200" s="17">
        <v>5</v>
      </c>
      <c r="K200" s="15">
        <v>642.84</v>
      </c>
      <c r="L200" s="15">
        <f>Table14[[#This Row],[Sales]]-Table14[[#This Row],[Cost]]</f>
        <v>3034.1099999999997</v>
      </c>
    </row>
    <row r="201" spans="1:12" x14ac:dyDescent="0.35">
      <c r="A201" t="s">
        <v>219</v>
      </c>
      <c r="B201" s="6">
        <v>44942</v>
      </c>
      <c r="C201" s="6" t="str">
        <f>TEXT(Table14[[#This Row],[Date]],"YYY")</f>
        <v>2023</v>
      </c>
      <c r="D201" s="6" t="str">
        <f>TEXT(Table14[[#This Row],[Date]],"MMMM")</f>
        <v>January</v>
      </c>
      <c r="E201" s="6" t="str">
        <f>"Q" &amp;ROUNDUP(MONTH(Table14[[#This Row],[Date]])/3,0)</f>
        <v>Q1</v>
      </c>
      <c r="F201" s="4" t="s">
        <v>13</v>
      </c>
      <c r="G201" s="4" t="s">
        <v>10</v>
      </c>
      <c r="H201" s="4" t="s">
        <v>19</v>
      </c>
      <c r="I201" s="15">
        <v>4562.1400000000003</v>
      </c>
      <c r="J201" s="17">
        <v>6</v>
      </c>
      <c r="K201" s="15">
        <v>636.19000000000005</v>
      </c>
      <c r="L201" s="15">
        <f>Table14[[#This Row],[Sales]]-Table14[[#This Row],[Cost]]</f>
        <v>3925.9500000000003</v>
      </c>
    </row>
    <row r="202" spans="1:12" x14ac:dyDescent="0.35">
      <c r="A202" t="s">
        <v>220</v>
      </c>
      <c r="B202" s="6">
        <v>45105</v>
      </c>
      <c r="C202" s="6" t="str">
        <f>TEXT(Table14[[#This Row],[Date]],"YYY")</f>
        <v>2023</v>
      </c>
      <c r="D202" s="6" t="str">
        <f>TEXT(Table14[[#This Row],[Date]],"MMMM")</f>
        <v>June</v>
      </c>
      <c r="E202" s="6" t="str">
        <f>"Q" &amp;ROUNDUP(MONTH(Table14[[#This Row],[Date]])/3,0)</f>
        <v>Q2</v>
      </c>
      <c r="F202" s="4" t="s">
        <v>23</v>
      </c>
      <c r="G202" s="4" t="s">
        <v>16</v>
      </c>
      <c r="H202" s="4" t="s">
        <v>11</v>
      </c>
      <c r="I202" s="15">
        <v>425.08</v>
      </c>
      <c r="J202" s="17">
        <v>5</v>
      </c>
      <c r="K202" s="15">
        <v>60.87</v>
      </c>
      <c r="L202" s="15">
        <f>Table14[[#This Row],[Sales]]-Table14[[#This Row],[Cost]]</f>
        <v>364.21</v>
      </c>
    </row>
    <row r="203" spans="1:12" x14ac:dyDescent="0.35">
      <c r="A203" t="s">
        <v>221</v>
      </c>
      <c r="B203" s="6">
        <v>44992</v>
      </c>
      <c r="C203" s="6" t="str">
        <f>TEXT(Table14[[#This Row],[Date]],"YYY")</f>
        <v>2023</v>
      </c>
      <c r="D203" s="6" t="str">
        <f>TEXT(Table14[[#This Row],[Date]],"MMMM")</f>
        <v>March</v>
      </c>
      <c r="E203" s="6" t="str">
        <f>"Q" &amp;ROUNDUP(MONTH(Table14[[#This Row],[Date]])/3,0)</f>
        <v>Q1</v>
      </c>
      <c r="F203" s="4" t="s">
        <v>25</v>
      </c>
      <c r="G203" s="4" t="s">
        <v>16</v>
      </c>
      <c r="H203" s="4" t="s">
        <v>11</v>
      </c>
      <c r="I203" s="15">
        <v>3681.17</v>
      </c>
      <c r="J203" s="17">
        <v>8</v>
      </c>
      <c r="K203" s="15">
        <v>369.65</v>
      </c>
      <c r="L203" s="15">
        <f>Table14[[#This Row],[Sales]]-Table14[[#This Row],[Cost]]</f>
        <v>3311.52</v>
      </c>
    </row>
    <row r="204" spans="1:12" x14ac:dyDescent="0.35">
      <c r="A204" t="s">
        <v>222</v>
      </c>
      <c r="B204" s="6">
        <v>45389</v>
      </c>
      <c r="C204" s="6" t="str">
        <f>TEXT(Table14[[#This Row],[Date]],"YYY")</f>
        <v>2024</v>
      </c>
      <c r="D204" s="6" t="str">
        <f>TEXT(Table14[[#This Row],[Date]],"MMMM")</f>
        <v>April</v>
      </c>
      <c r="E204" s="6" t="str">
        <f>"Q" &amp;ROUNDUP(MONTH(Table14[[#This Row],[Date]])/3,0)</f>
        <v>Q2</v>
      </c>
      <c r="F204" s="4" t="s">
        <v>25</v>
      </c>
      <c r="G204" s="4" t="s">
        <v>16</v>
      </c>
      <c r="H204" s="4" t="s">
        <v>11</v>
      </c>
      <c r="I204" s="15">
        <v>2335.77</v>
      </c>
      <c r="J204" s="17">
        <v>9</v>
      </c>
      <c r="K204" s="15">
        <v>192.81</v>
      </c>
      <c r="L204" s="15">
        <f>Table14[[#This Row],[Sales]]-Table14[[#This Row],[Cost]]</f>
        <v>2142.96</v>
      </c>
    </row>
    <row r="205" spans="1:12" x14ac:dyDescent="0.35">
      <c r="A205" t="s">
        <v>223</v>
      </c>
      <c r="B205" s="6">
        <v>45396</v>
      </c>
      <c r="C205" s="6" t="str">
        <f>TEXT(Table14[[#This Row],[Date]],"YYY")</f>
        <v>2024</v>
      </c>
      <c r="D205" s="6" t="str">
        <f>TEXT(Table14[[#This Row],[Date]],"MMMM")</f>
        <v>April</v>
      </c>
      <c r="E205" s="6" t="str">
        <f>"Q" &amp;ROUNDUP(MONTH(Table14[[#This Row],[Date]])/3,0)</f>
        <v>Q2</v>
      </c>
      <c r="F205" s="4" t="s">
        <v>9</v>
      </c>
      <c r="G205" s="4" t="s">
        <v>10</v>
      </c>
      <c r="H205" s="4" t="s">
        <v>26</v>
      </c>
      <c r="I205" s="15">
        <v>87.11</v>
      </c>
      <c r="J205" s="17">
        <v>1</v>
      </c>
      <c r="K205" s="15">
        <v>67.44</v>
      </c>
      <c r="L205" s="15">
        <f>Table14[[#This Row],[Sales]]-Table14[[#This Row],[Cost]]</f>
        <v>19.670000000000002</v>
      </c>
    </row>
    <row r="206" spans="1:12" x14ac:dyDescent="0.35">
      <c r="A206" t="s">
        <v>224</v>
      </c>
      <c r="B206" s="6">
        <v>45629</v>
      </c>
      <c r="C206" s="6" t="str">
        <f>TEXT(Table14[[#This Row],[Date]],"YYY")</f>
        <v>2024</v>
      </c>
      <c r="D206" s="6" t="str">
        <f>TEXT(Table14[[#This Row],[Date]],"MMMM")</f>
        <v>December</v>
      </c>
      <c r="E206" s="6" t="str">
        <f>"Q" &amp;ROUNDUP(MONTH(Table14[[#This Row],[Date]])/3,0)</f>
        <v>Q4</v>
      </c>
      <c r="F206" s="4" t="s">
        <v>18</v>
      </c>
      <c r="G206" s="4" t="s">
        <v>10</v>
      </c>
      <c r="H206" s="4" t="s">
        <v>21</v>
      </c>
      <c r="I206" s="15">
        <v>1178.1600000000001</v>
      </c>
      <c r="J206" s="17">
        <v>2</v>
      </c>
      <c r="K206" s="15">
        <v>402.41</v>
      </c>
      <c r="L206" s="15">
        <f>Table14[[#This Row],[Sales]]-Table14[[#This Row],[Cost]]</f>
        <v>775.75</v>
      </c>
    </row>
    <row r="207" spans="1:12" x14ac:dyDescent="0.35">
      <c r="A207" t="s">
        <v>225</v>
      </c>
      <c r="B207" s="6">
        <v>45256</v>
      </c>
      <c r="C207" s="6" t="str">
        <f>TEXT(Table14[[#This Row],[Date]],"YYY")</f>
        <v>2023</v>
      </c>
      <c r="D207" s="6" t="str">
        <f>TEXT(Table14[[#This Row],[Date]],"MMMM")</f>
        <v>November</v>
      </c>
      <c r="E207" s="6" t="str">
        <f>"Q" &amp;ROUNDUP(MONTH(Table14[[#This Row],[Date]])/3,0)</f>
        <v>Q4</v>
      </c>
      <c r="F207" s="4" t="s">
        <v>13</v>
      </c>
      <c r="G207" s="4" t="s">
        <v>10</v>
      </c>
      <c r="H207" s="4" t="s">
        <v>11</v>
      </c>
      <c r="I207" s="15">
        <v>1561.2</v>
      </c>
      <c r="J207" s="17">
        <v>10</v>
      </c>
      <c r="K207" s="15">
        <v>135.69999999999999</v>
      </c>
      <c r="L207" s="15">
        <f>Table14[[#This Row],[Sales]]-Table14[[#This Row],[Cost]]</f>
        <v>1425.5</v>
      </c>
    </row>
    <row r="208" spans="1:12" x14ac:dyDescent="0.35">
      <c r="A208" t="s">
        <v>226</v>
      </c>
      <c r="B208" s="6">
        <v>45317</v>
      </c>
      <c r="C208" s="6" t="str">
        <f>TEXT(Table14[[#This Row],[Date]],"YYY")</f>
        <v>2024</v>
      </c>
      <c r="D208" s="6" t="str">
        <f>TEXT(Table14[[#This Row],[Date]],"MMMM")</f>
        <v>January</v>
      </c>
      <c r="E208" s="6" t="str">
        <f>"Q" &amp;ROUNDUP(MONTH(Table14[[#This Row],[Date]])/3,0)</f>
        <v>Q1</v>
      </c>
      <c r="F208" s="4" t="s">
        <v>25</v>
      </c>
      <c r="G208" s="4" t="s">
        <v>16</v>
      </c>
      <c r="H208" s="4" t="s">
        <v>26</v>
      </c>
      <c r="I208" s="15">
        <v>5559.47</v>
      </c>
      <c r="J208" s="17">
        <v>10</v>
      </c>
      <c r="K208" s="15">
        <v>433.83</v>
      </c>
      <c r="L208" s="15">
        <f>Table14[[#This Row],[Sales]]-Table14[[#This Row],[Cost]]</f>
        <v>5125.6400000000003</v>
      </c>
    </row>
    <row r="209" spans="1:12" x14ac:dyDescent="0.35">
      <c r="A209" t="s">
        <v>227</v>
      </c>
      <c r="B209" s="6">
        <v>45028</v>
      </c>
      <c r="C209" s="6" t="str">
        <f>TEXT(Table14[[#This Row],[Date]],"YYY")</f>
        <v>2023</v>
      </c>
      <c r="D209" s="6" t="str">
        <f>TEXT(Table14[[#This Row],[Date]],"MMMM")</f>
        <v>April</v>
      </c>
      <c r="E209" s="6" t="str">
        <f>"Q" &amp;ROUNDUP(MONTH(Table14[[#This Row],[Date]])/3,0)</f>
        <v>Q2</v>
      </c>
      <c r="F209" s="4" t="s">
        <v>25</v>
      </c>
      <c r="G209" s="4" t="s">
        <v>16</v>
      </c>
      <c r="H209" s="4" t="s">
        <v>21</v>
      </c>
      <c r="I209" s="15">
        <v>1864.19</v>
      </c>
      <c r="J209" s="17">
        <v>2</v>
      </c>
      <c r="K209" s="15">
        <v>685.18</v>
      </c>
      <c r="L209" s="15">
        <f>Table14[[#This Row],[Sales]]-Table14[[#This Row],[Cost]]</f>
        <v>1179.0100000000002</v>
      </c>
    </row>
    <row r="210" spans="1:12" x14ac:dyDescent="0.35">
      <c r="A210" t="s">
        <v>228</v>
      </c>
      <c r="B210" s="6">
        <v>45367</v>
      </c>
      <c r="C210" s="6" t="str">
        <f>TEXT(Table14[[#This Row],[Date]],"YYY")</f>
        <v>2024</v>
      </c>
      <c r="D210" s="6" t="str">
        <f>TEXT(Table14[[#This Row],[Date]],"MMMM")</f>
        <v>March</v>
      </c>
      <c r="E210" s="6" t="str">
        <f>"Q" &amp;ROUNDUP(MONTH(Table14[[#This Row],[Date]])/3,0)</f>
        <v>Q1</v>
      </c>
      <c r="F210" s="4" t="s">
        <v>25</v>
      </c>
      <c r="G210" s="4" t="s">
        <v>16</v>
      </c>
      <c r="H210" s="4" t="s">
        <v>19</v>
      </c>
      <c r="I210" s="15">
        <v>7215.62</v>
      </c>
      <c r="J210" s="17">
        <v>8</v>
      </c>
      <c r="K210" s="15">
        <v>712.71</v>
      </c>
      <c r="L210" s="15">
        <f>Table14[[#This Row],[Sales]]-Table14[[#This Row],[Cost]]</f>
        <v>6502.91</v>
      </c>
    </row>
    <row r="211" spans="1:12" x14ac:dyDescent="0.35">
      <c r="A211" t="s">
        <v>229</v>
      </c>
      <c r="B211" s="6">
        <v>45352</v>
      </c>
      <c r="C211" s="6" t="str">
        <f>TEXT(Table14[[#This Row],[Date]],"YYY")</f>
        <v>2024</v>
      </c>
      <c r="D211" s="6" t="str">
        <f>TEXT(Table14[[#This Row],[Date]],"MMMM")</f>
        <v>March</v>
      </c>
      <c r="E211" s="6" t="str">
        <f>"Q" &amp;ROUNDUP(MONTH(Table14[[#This Row],[Date]])/3,0)</f>
        <v>Q1</v>
      </c>
      <c r="F211" s="4" t="s">
        <v>18</v>
      </c>
      <c r="G211" s="4" t="s">
        <v>10</v>
      </c>
      <c r="H211" s="4" t="s">
        <v>21</v>
      </c>
      <c r="I211" s="15">
        <v>646.29</v>
      </c>
      <c r="J211" s="17">
        <v>2</v>
      </c>
      <c r="K211" s="15">
        <v>263.79000000000002</v>
      </c>
      <c r="L211" s="15">
        <f>Table14[[#This Row],[Sales]]-Table14[[#This Row],[Cost]]</f>
        <v>382.49999999999994</v>
      </c>
    </row>
    <row r="212" spans="1:12" x14ac:dyDescent="0.35">
      <c r="A212" t="s">
        <v>230</v>
      </c>
      <c r="B212" s="6">
        <v>45083</v>
      </c>
      <c r="C212" s="6" t="str">
        <f>TEXT(Table14[[#This Row],[Date]],"YYY")</f>
        <v>2023</v>
      </c>
      <c r="D212" s="6" t="str">
        <f>TEXT(Table14[[#This Row],[Date]],"MMMM")</f>
        <v>June</v>
      </c>
      <c r="E212" s="6" t="str">
        <f>"Q" &amp;ROUNDUP(MONTH(Table14[[#This Row],[Date]])/3,0)</f>
        <v>Q2</v>
      </c>
      <c r="F212" s="4" t="s">
        <v>23</v>
      </c>
      <c r="G212" s="4" t="s">
        <v>16</v>
      </c>
      <c r="H212" s="4" t="s">
        <v>26</v>
      </c>
      <c r="I212" s="15">
        <v>829.37</v>
      </c>
      <c r="J212" s="17">
        <v>8</v>
      </c>
      <c r="K212" s="15">
        <v>72.36</v>
      </c>
      <c r="L212" s="15">
        <f>Table14[[#This Row],[Sales]]-Table14[[#This Row],[Cost]]</f>
        <v>757.01</v>
      </c>
    </row>
    <row r="213" spans="1:12" x14ac:dyDescent="0.35">
      <c r="A213" t="s">
        <v>231</v>
      </c>
      <c r="B213" s="6">
        <v>45025</v>
      </c>
      <c r="C213" s="6" t="str">
        <f>TEXT(Table14[[#This Row],[Date]],"YYY")</f>
        <v>2023</v>
      </c>
      <c r="D213" s="6" t="str">
        <f>TEXT(Table14[[#This Row],[Date]],"MMMM")</f>
        <v>April</v>
      </c>
      <c r="E213" s="6" t="str">
        <f>"Q" &amp;ROUNDUP(MONTH(Table14[[#This Row],[Date]])/3,0)</f>
        <v>Q2</v>
      </c>
      <c r="F213" s="4" t="s">
        <v>13</v>
      </c>
      <c r="G213" s="4" t="s">
        <v>10</v>
      </c>
      <c r="H213" s="4" t="s">
        <v>21</v>
      </c>
      <c r="I213" s="15">
        <v>5183.17</v>
      </c>
      <c r="J213" s="17">
        <v>6</v>
      </c>
      <c r="K213" s="15">
        <v>653.17999999999995</v>
      </c>
      <c r="L213" s="15">
        <f>Table14[[#This Row],[Sales]]-Table14[[#This Row],[Cost]]</f>
        <v>4529.99</v>
      </c>
    </row>
    <row r="214" spans="1:12" x14ac:dyDescent="0.35">
      <c r="A214" t="s">
        <v>232</v>
      </c>
      <c r="B214" s="6">
        <v>45613</v>
      </c>
      <c r="C214" s="6" t="str">
        <f>TEXT(Table14[[#This Row],[Date]],"YYY")</f>
        <v>2024</v>
      </c>
      <c r="D214" s="6" t="str">
        <f>TEXT(Table14[[#This Row],[Date]],"MMMM")</f>
        <v>November</v>
      </c>
      <c r="E214" s="6" t="str">
        <f>"Q" &amp;ROUNDUP(MONTH(Table14[[#This Row],[Date]])/3,0)</f>
        <v>Q4</v>
      </c>
      <c r="F214" s="4" t="s">
        <v>25</v>
      </c>
      <c r="G214" s="4" t="s">
        <v>16</v>
      </c>
      <c r="H214" s="4" t="s">
        <v>26</v>
      </c>
      <c r="I214" s="15">
        <v>986.87</v>
      </c>
      <c r="J214" s="17">
        <v>2</v>
      </c>
      <c r="K214" s="15">
        <v>340.43</v>
      </c>
      <c r="L214" s="15">
        <f>Table14[[#This Row],[Sales]]-Table14[[#This Row],[Cost]]</f>
        <v>646.44000000000005</v>
      </c>
    </row>
    <row r="215" spans="1:12" x14ac:dyDescent="0.35">
      <c r="A215" t="s">
        <v>233</v>
      </c>
      <c r="B215" s="6">
        <v>45221</v>
      </c>
      <c r="C215" s="6" t="str">
        <f>TEXT(Table14[[#This Row],[Date]],"YYY")</f>
        <v>2023</v>
      </c>
      <c r="D215" s="6" t="str">
        <f>TEXT(Table14[[#This Row],[Date]],"MMMM")</f>
        <v>October</v>
      </c>
      <c r="E215" s="6" t="str">
        <f>"Q" &amp;ROUNDUP(MONTH(Table14[[#This Row],[Date]])/3,0)</f>
        <v>Q4</v>
      </c>
      <c r="F215" s="4" t="s">
        <v>18</v>
      </c>
      <c r="G215" s="4" t="s">
        <v>10</v>
      </c>
      <c r="H215" s="4" t="s">
        <v>11</v>
      </c>
      <c r="I215" s="15">
        <v>3010.09</v>
      </c>
      <c r="J215" s="17">
        <v>10</v>
      </c>
      <c r="K215" s="15">
        <v>263.70999999999998</v>
      </c>
      <c r="L215" s="15">
        <f>Table14[[#This Row],[Sales]]-Table14[[#This Row],[Cost]]</f>
        <v>2746.38</v>
      </c>
    </row>
    <row r="216" spans="1:12" x14ac:dyDescent="0.35">
      <c r="A216" t="s">
        <v>234</v>
      </c>
      <c r="B216" s="6">
        <v>45085</v>
      </c>
      <c r="C216" s="6" t="str">
        <f>TEXT(Table14[[#This Row],[Date]],"YYY")</f>
        <v>2023</v>
      </c>
      <c r="D216" s="6" t="str">
        <f>TEXT(Table14[[#This Row],[Date]],"MMMM")</f>
        <v>June</v>
      </c>
      <c r="E216" s="6" t="str">
        <f>"Q" &amp;ROUNDUP(MONTH(Table14[[#This Row],[Date]])/3,0)</f>
        <v>Q2</v>
      </c>
      <c r="F216" s="4" t="s">
        <v>25</v>
      </c>
      <c r="G216" s="4" t="s">
        <v>16</v>
      </c>
      <c r="H216" s="4" t="s">
        <v>19</v>
      </c>
      <c r="I216" s="15">
        <v>1782.71</v>
      </c>
      <c r="J216" s="17">
        <v>8</v>
      </c>
      <c r="K216" s="15">
        <v>194.91</v>
      </c>
      <c r="L216" s="15">
        <f>Table14[[#This Row],[Sales]]-Table14[[#This Row],[Cost]]</f>
        <v>1587.8</v>
      </c>
    </row>
    <row r="217" spans="1:12" x14ac:dyDescent="0.35">
      <c r="A217" t="s">
        <v>235</v>
      </c>
      <c r="B217" s="6">
        <v>45044</v>
      </c>
      <c r="C217" s="6" t="str">
        <f>TEXT(Table14[[#This Row],[Date]],"YYY")</f>
        <v>2023</v>
      </c>
      <c r="D217" s="6" t="str">
        <f>TEXT(Table14[[#This Row],[Date]],"MMMM")</f>
        <v>April</v>
      </c>
      <c r="E217" s="6" t="str">
        <f>"Q" &amp;ROUNDUP(MONTH(Table14[[#This Row],[Date]])/3,0)</f>
        <v>Q2</v>
      </c>
      <c r="F217" s="4" t="s">
        <v>25</v>
      </c>
      <c r="G217" s="4" t="s">
        <v>16</v>
      </c>
      <c r="H217" s="4" t="s">
        <v>26</v>
      </c>
      <c r="I217" s="15">
        <v>3328.14</v>
      </c>
      <c r="J217" s="17">
        <v>5</v>
      </c>
      <c r="K217" s="15">
        <v>467.8</v>
      </c>
      <c r="L217" s="15">
        <f>Table14[[#This Row],[Sales]]-Table14[[#This Row],[Cost]]</f>
        <v>2860.3399999999997</v>
      </c>
    </row>
    <row r="218" spans="1:12" x14ac:dyDescent="0.35">
      <c r="A218" t="s">
        <v>236</v>
      </c>
      <c r="B218" s="6">
        <v>45550</v>
      </c>
      <c r="C218" s="6" t="str">
        <f>TEXT(Table14[[#This Row],[Date]],"YYY")</f>
        <v>2024</v>
      </c>
      <c r="D218" s="6" t="str">
        <f>TEXT(Table14[[#This Row],[Date]],"MMMM")</f>
        <v>September</v>
      </c>
      <c r="E218" s="6" t="str">
        <f>"Q" &amp;ROUNDUP(MONTH(Table14[[#This Row],[Date]])/3,0)</f>
        <v>Q3</v>
      </c>
      <c r="F218" s="4" t="s">
        <v>25</v>
      </c>
      <c r="G218" s="4" t="s">
        <v>16</v>
      </c>
      <c r="H218" s="4" t="s">
        <v>11</v>
      </c>
      <c r="I218" s="15">
        <v>257.45999999999998</v>
      </c>
      <c r="J218" s="17">
        <v>5</v>
      </c>
      <c r="K218" s="15">
        <v>42.58</v>
      </c>
      <c r="L218" s="15">
        <f>Table14[[#This Row],[Sales]]-Table14[[#This Row],[Cost]]</f>
        <v>214.88</v>
      </c>
    </row>
    <row r="219" spans="1:12" x14ac:dyDescent="0.35">
      <c r="A219" t="s">
        <v>237</v>
      </c>
      <c r="B219" s="6">
        <v>45286</v>
      </c>
      <c r="C219" s="6" t="str">
        <f>TEXT(Table14[[#This Row],[Date]],"YYY")</f>
        <v>2023</v>
      </c>
      <c r="D219" s="6" t="str">
        <f>TEXT(Table14[[#This Row],[Date]],"MMMM")</f>
        <v>December</v>
      </c>
      <c r="E219" s="6" t="str">
        <f>"Q" &amp;ROUNDUP(MONTH(Table14[[#This Row],[Date]])/3,0)</f>
        <v>Q4</v>
      </c>
      <c r="F219" s="4" t="s">
        <v>23</v>
      </c>
      <c r="G219" s="4" t="s">
        <v>16</v>
      </c>
      <c r="H219" s="4" t="s">
        <v>26</v>
      </c>
      <c r="I219" s="15">
        <v>186.9</v>
      </c>
      <c r="J219" s="17">
        <v>1</v>
      </c>
      <c r="K219" s="15">
        <v>161.5</v>
      </c>
      <c r="L219" s="15">
        <f>Table14[[#This Row],[Sales]]-Table14[[#This Row],[Cost]]</f>
        <v>25.400000000000006</v>
      </c>
    </row>
    <row r="220" spans="1:12" x14ac:dyDescent="0.35">
      <c r="A220" t="s">
        <v>238</v>
      </c>
      <c r="B220" s="6">
        <v>44998</v>
      </c>
      <c r="C220" s="6" t="str">
        <f>TEXT(Table14[[#This Row],[Date]],"YYY")</f>
        <v>2023</v>
      </c>
      <c r="D220" s="6" t="str">
        <f>TEXT(Table14[[#This Row],[Date]],"MMMM")</f>
        <v>March</v>
      </c>
      <c r="E220" s="6" t="str">
        <f>"Q" &amp;ROUNDUP(MONTH(Table14[[#This Row],[Date]])/3,0)</f>
        <v>Q1</v>
      </c>
      <c r="F220" s="4" t="s">
        <v>9</v>
      </c>
      <c r="G220" s="4" t="s">
        <v>10</v>
      </c>
      <c r="H220" s="4" t="s">
        <v>21</v>
      </c>
      <c r="I220" s="15">
        <v>2670.59</v>
      </c>
      <c r="J220" s="17">
        <v>3</v>
      </c>
      <c r="K220" s="15">
        <v>597.96</v>
      </c>
      <c r="L220" s="15">
        <f>Table14[[#This Row],[Sales]]-Table14[[#This Row],[Cost]]</f>
        <v>2072.63</v>
      </c>
    </row>
    <row r="221" spans="1:12" x14ac:dyDescent="0.35">
      <c r="A221" t="s">
        <v>239</v>
      </c>
      <c r="B221" s="6">
        <v>45312</v>
      </c>
      <c r="C221" s="6" t="str">
        <f>TEXT(Table14[[#This Row],[Date]],"YYY")</f>
        <v>2024</v>
      </c>
      <c r="D221" s="6" t="str">
        <f>TEXT(Table14[[#This Row],[Date]],"MMMM")</f>
        <v>January</v>
      </c>
      <c r="E221" s="6" t="str">
        <f>"Q" &amp;ROUNDUP(MONTH(Table14[[#This Row],[Date]])/3,0)</f>
        <v>Q1</v>
      </c>
      <c r="F221" s="4" t="s">
        <v>13</v>
      </c>
      <c r="G221" s="4" t="s">
        <v>10</v>
      </c>
      <c r="H221" s="4" t="s">
        <v>19</v>
      </c>
      <c r="I221" s="15">
        <v>3043.34</v>
      </c>
      <c r="J221" s="17">
        <v>7</v>
      </c>
      <c r="K221" s="15">
        <v>373.84</v>
      </c>
      <c r="L221" s="15">
        <f>Table14[[#This Row],[Sales]]-Table14[[#This Row],[Cost]]</f>
        <v>2669.5</v>
      </c>
    </row>
    <row r="222" spans="1:12" x14ac:dyDescent="0.35">
      <c r="A222" t="s">
        <v>240</v>
      </c>
      <c r="B222" s="6">
        <v>45508</v>
      </c>
      <c r="C222" s="6" t="str">
        <f>TEXT(Table14[[#This Row],[Date]],"YYY")</f>
        <v>2024</v>
      </c>
      <c r="D222" s="6" t="str">
        <f>TEXT(Table14[[#This Row],[Date]],"MMMM")</f>
        <v>August</v>
      </c>
      <c r="E222" s="6" t="str">
        <f>"Q" &amp;ROUNDUP(MONTH(Table14[[#This Row],[Date]])/3,0)</f>
        <v>Q3</v>
      </c>
      <c r="F222" s="4" t="s">
        <v>23</v>
      </c>
      <c r="G222" s="4" t="s">
        <v>16</v>
      </c>
      <c r="H222" s="4" t="s">
        <v>26</v>
      </c>
      <c r="I222" s="15">
        <v>967.12</v>
      </c>
      <c r="J222" s="17">
        <v>10</v>
      </c>
      <c r="K222" s="15">
        <v>86.27</v>
      </c>
      <c r="L222" s="15">
        <f>Table14[[#This Row],[Sales]]-Table14[[#This Row],[Cost]]</f>
        <v>880.85</v>
      </c>
    </row>
    <row r="223" spans="1:12" x14ac:dyDescent="0.35">
      <c r="A223" t="s">
        <v>241</v>
      </c>
      <c r="B223" s="6">
        <v>45617</v>
      </c>
      <c r="C223" s="6" t="str">
        <f>TEXT(Table14[[#This Row],[Date]],"YYY")</f>
        <v>2024</v>
      </c>
      <c r="D223" s="6" t="str">
        <f>TEXT(Table14[[#This Row],[Date]],"MMMM")</f>
        <v>November</v>
      </c>
      <c r="E223" s="6" t="str">
        <f>"Q" &amp;ROUNDUP(MONTH(Table14[[#This Row],[Date]])/3,0)</f>
        <v>Q4</v>
      </c>
      <c r="F223" s="4" t="s">
        <v>15</v>
      </c>
      <c r="G223" s="4" t="s">
        <v>16</v>
      </c>
      <c r="H223" s="4" t="s">
        <v>11</v>
      </c>
      <c r="I223" s="15">
        <v>633.91</v>
      </c>
      <c r="J223" s="17">
        <v>2</v>
      </c>
      <c r="K223" s="15">
        <v>232.24</v>
      </c>
      <c r="L223" s="15">
        <f>Table14[[#This Row],[Sales]]-Table14[[#This Row],[Cost]]</f>
        <v>401.66999999999996</v>
      </c>
    </row>
    <row r="224" spans="1:12" x14ac:dyDescent="0.35">
      <c r="A224" t="s">
        <v>242</v>
      </c>
      <c r="B224" s="6">
        <v>45351</v>
      </c>
      <c r="C224" s="6" t="str">
        <f>TEXT(Table14[[#This Row],[Date]],"YYY")</f>
        <v>2024</v>
      </c>
      <c r="D224" s="6" t="str">
        <f>TEXT(Table14[[#This Row],[Date]],"MMMM")</f>
        <v>February</v>
      </c>
      <c r="E224" s="6" t="str">
        <f>"Q" &amp;ROUNDUP(MONTH(Table14[[#This Row],[Date]])/3,0)</f>
        <v>Q1</v>
      </c>
      <c r="F224" s="4" t="s">
        <v>18</v>
      </c>
      <c r="G224" s="4" t="s">
        <v>10</v>
      </c>
      <c r="H224" s="4" t="s">
        <v>21</v>
      </c>
      <c r="I224" s="15">
        <v>1227.56</v>
      </c>
      <c r="J224" s="17">
        <v>5</v>
      </c>
      <c r="K224" s="15">
        <v>188.14</v>
      </c>
      <c r="L224" s="15">
        <f>Table14[[#This Row],[Sales]]-Table14[[#This Row],[Cost]]</f>
        <v>1039.42</v>
      </c>
    </row>
    <row r="225" spans="1:12" x14ac:dyDescent="0.35">
      <c r="A225" t="s">
        <v>243</v>
      </c>
      <c r="B225" s="6">
        <v>45040</v>
      </c>
      <c r="C225" s="6" t="str">
        <f>TEXT(Table14[[#This Row],[Date]],"YYY")</f>
        <v>2023</v>
      </c>
      <c r="D225" s="6" t="str">
        <f>TEXT(Table14[[#This Row],[Date]],"MMMM")</f>
        <v>April</v>
      </c>
      <c r="E225" s="6" t="str">
        <f>"Q" &amp;ROUNDUP(MONTH(Table14[[#This Row],[Date]])/3,0)</f>
        <v>Q2</v>
      </c>
      <c r="F225" s="4" t="s">
        <v>23</v>
      </c>
      <c r="G225" s="4" t="s">
        <v>16</v>
      </c>
      <c r="H225" s="4" t="s">
        <v>21</v>
      </c>
      <c r="I225" s="15">
        <v>3670.83</v>
      </c>
      <c r="J225" s="17">
        <v>5</v>
      </c>
      <c r="K225" s="15">
        <v>549.01</v>
      </c>
      <c r="L225" s="15">
        <f>Table14[[#This Row],[Sales]]-Table14[[#This Row],[Cost]]</f>
        <v>3121.8199999999997</v>
      </c>
    </row>
    <row r="226" spans="1:12" x14ac:dyDescent="0.35">
      <c r="A226" t="s">
        <v>244</v>
      </c>
      <c r="B226" s="6">
        <v>44973</v>
      </c>
      <c r="C226" s="6" t="str">
        <f>TEXT(Table14[[#This Row],[Date]],"YYY")</f>
        <v>2023</v>
      </c>
      <c r="D226" s="6" t="str">
        <f>TEXT(Table14[[#This Row],[Date]],"MMMM")</f>
        <v>February</v>
      </c>
      <c r="E226" s="6" t="str">
        <f>"Q" &amp;ROUNDUP(MONTH(Table14[[#This Row],[Date]])/3,0)</f>
        <v>Q1</v>
      </c>
      <c r="F226" s="4" t="s">
        <v>25</v>
      </c>
      <c r="G226" s="4" t="s">
        <v>16</v>
      </c>
      <c r="H226" s="4" t="s">
        <v>26</v>
      </c>
      <c r="I226" s="15">
        <v>1759.39</v>
      </c>
      <c r="J226" s="17">
        <v>4</v>
      </c>
      <c r="K226" s="15">
        <v>328.31</v>
      </c>
      <c r="L226" s="15">
        <f>Table14[[#This Row],[Sales]]-Table14[[#This Row],[Cost]]</f>
        <v>1431.0800000000002</v>
      </c>
    </row>
    <row r="227" spans="1:12" x14ac:dyDescent="0.35">
      <c r="A227" t="s">
        <v>245</v>
      </c>
      <c r="B227" s="6">
        <v>45235</v>
      </c>
      <c r="C227" s="6" t="str">
        <f>TEXT(Table14[[#This Row],[Date]],"YYY")</f>
        <v>2023</v>
      </c>
      <c r="D227" s="6" t="str">
        <f>TEXT(Table14[[#This Row],[Date]],"MMMM")</f>
        <v>November</v>
      </c>
      <c r="E227" s="6" t="str">
        <f>"Q" &amp;ROUNDUP(MONTH(Table14[[#This Row],[Date]])/3,0)</f>
        <v>Q4</v>
      </c>
      <c r="F227" s="4" t="s">
        <v>13</v>
      </c>
      <c r="G227" s="4" t="s">
        <v>10</v>
      </c>
      <c r="H227" s="4" t="s">
        <v>19</v>
      </c>
      <c r="I227" s="15">
        <v>3477.78</v>
      </c>
      <c r="J227" s="17">
        <v>4</v>
      </c>
      <c r="K227" s="15">
        <v>618.53</v>
      </c>
      <c r="L227" s="15">
        <f>Table14[[#This Row],[Sales]]-Table14[[#This Row],[Cost]]</f>
        <v>2859.25</v>
      </c>
    </row>
    <row r="228" spans="1:12" x14ac:dyDescent="0.35">
      <c r="A228" t="s">
        <v>246</v>
      </c>
      <c r="B228" s="6">
        <v>45049</v>
      </c>
      <c r="C228" s="6" t="str">
        <f>TEXT(Table14[[#This Row],[Date]],"YYY")</f>
        <v>2023</v>
      </c>
      <c r="D228" s="6" t="str">
        <f>TEXT(Table14[[#This Row],[Date]],"MMMM")</f>
        <v>May</v>
      </c>
      <c r="E228" s="6" t="str">
        <f>"Q" &amp;ROUNDUP(MONTH(Table14[[#This Row],[Date]])/3,0)</f>
        <v>Q2</v>
      </c>
      <c r="F228" s="4" t="s">
        <v>23</v>
      </c>
      <c r="G228" s="4" t="s">
        <v>16</v>
      </c>
      <c r="H228" s="4" t="s">
        <v>26</v>
      </c>
      <c r="I228" s="15">
        <v>519.03</v>
      </c>
      <c r="J228" s="17">
        <v>1</v>
      </c>
      <c r="K228" s="15">
        <v>407.96</v>
      </c>
      <c r="L228" s="15">
        <f>Table14[[#This Row],[Sales]]-Table14[[#This Row],[Cost]]</f>
        <v>111.07</v>
      </c>
    </row>
    <row r="229" spans="1:12" x14ac:dyDescent="0.35">
      <c r="A229" t="s">
        <v>247</v>
      </c>
      <c r="B229" s="6">
        <v>45472</v>
      </c>
      <c r="C229" s="6" t="str">
        <f>TEXT(Table14[[#This Row],[Date]],"YYY")</f>
        <v>2024</v>
      </c>
      <c r="D229" s="6" t="str">
        <f>TEXT(Table14[[#This Row],[Date]],"MMMM")</f>
        <v>June</v>
      </c>
      <c r="E229" s="6" t="str">
        <f>"Q" &amp;ROUNDUP(MONTH(Table14[[#This Row],[Date]])/3,0)</f>
        <v>Q2</v>
      </c>
      <c r="F229" s="4" t="s">
        <v>15</v>
      </c>
      <c r="G229" s="4" t="s">
        <v>16</v>
      </c>
      <c r="H229" s="4" t="s">
        <v>21</v>
      </c>
      <c r="I229" s="15">
        <v>2351.83</v>
      </c>
      <c r="J229" s="17">
        <v>4</v>
      </c>
      <c r="K229" s="15">
        <v>410.2</v>
      </c>
      <c r="L229" s="15">
        <f>Table14[[#This Row],[Sales]]-Table14[[#This Row],[Cost]]</f>
        <v>1941.6299999999999</v>
      </c>
    </row>
    <row r="230" spans="1:12" x14ac:dyDescent="0.35">
      <c r="A230" t="s">
        <v>248</v>
      </c>
      <c r="B230" s="6">
        <v>45333</v>
      </c>
      <c r="C230" s="6" t="str">
        <f>TEXT(Table14[[#This Row],[Date]],"YYY")</f>
        <v>2024</v>
      </c>
      <c r="D230" s="6" t="str">
        <f>TEXT(Table14[[#This Row],[Date]],"MMMM")</f>
        <v>February</v>
      </c>
      <c r="E230" s="6" t="str">
        <f>"Q" &amp;ROUNDUP(MONTH(Table14[[#This Row],[Date]])/3,0)</f>
        <v>Q1</v>
      </c>
      <c r="F230" s="4" t="s">
        <v>23</v>
      </c>
      <c r="G230" s="4" t="s">
        <v>16</v>
      </c>
      <c r="H230" s="4" t="s">
        <v>11</v>
      </c>
      <c r="I230" s="15">
        <v>462.53</v>
      </c>
      <c r="J230" s="17">
        <v>1</v>
      </c>
      <c r="K230" s="15">
        <v>360.25</v>
      </c>
      <c r="L230" s="15">
        <f>Table14[[#This Row],[Sales]]-Table14[[#This Row],[Cost]]</f>
        <v>102.27999999999997</v>
      </c>
    </row>
    <row r="231" spans="1:12" x14ac:dyDescent="0.35">
      <c r="A231" t="s">
        <v>249</v>
      </c>
      <c r="B231" s="6">
        <v>45516</v>
      </c>
      <c r="C231" s="6" t="str">
        <f>TEXT(Table14[[#This Row],[Date]],"YYY")</f>
        <v>2024</v>
      </c>
      <c r="D231" s="6" t="str">
        <f>TEXT(Table14[[#This Row],[Date]],"MMMM")</f>
        <v>August</v>
      </c>
      <c r="E231" s="6" t="str">
        <f>"Q" &amp;ROUNDUP(MONTH(Table14[[#This Row],[Date]])/3,0)</f>
        <v>Q3</v>
      </c>
      <c r="F231" s="4" t="s">
        <v>13</v>
      </c>
      <c r="G231" s="4" t="s">
        <v>10</v>
      </c>
      <c r="H231" s="4" t="s">
        <v>26</v>
      </c>
      <c r="I231" s="15">
        <v>4526.0600000000004</v>
      </c>
      <c r="J231" s="17">
        <v>7</v>
      </c>
      <c r="K231" s="15">
        <v>467.25</v>
      </c>
      <c r="L231" s="15">
        <f>Table14[[#This Row],[Sales]]-Table14[[#This Row],[Cost]]</f>
        <v>4058.8100000000004</v>
      </c>
    </row>
    <row r="232" spans="1:12" x14ac:dyDescent="0.35">
      <c r="A232" t="s">
        <v>250</v>
      </c>
      <c r="B232" s="6">
        <v>45044</v>
      </c>
      <c r="C232" s="6" t="str">
        <f>TEXT(Table14[[#This Row],[Date]],"YYY")</f>
        <v>2023</v>
      </c>
      <c r="D232" s="6" t="str">
        <f>TEXT(Table14[[#This Row],[Date]],"MMMM")</f>
        <v>April</v>
      </c>
      <c r="E232" s="6" t="str">
        <f>"Q" &amp;ROUNDUP(MONTH(Table14[[#This Row],[Date]])/3,0)</f>
        <v>Q2</v>
      </c>
      <c r="F232" s="4" t="s">
        <v>18</v>
      </c>
      <c r="G232" s="4" t="s">
        <v>10</v>
      </c>
      <c r="H232" s="4" t="s">
        <v>26</v>
      </c>
      <c r="I232" s="15">
        <v>312.26</v>
      </c>
      <c r="J232" s="17">
        <v>7</v>
      </c>
      <c r="K232" s="15">
        <v>36.270000000000003</v>
      </c>
      <c r="L232" s="15">
        <f>Table14[[#This Row],[Sales]]-Table14[[#This Row],[Cost]]</f>
        <v>275.99</v>
      </c>
    </row>
    <row r="233" spans="1:12" x14ac:dyDescent="0.35">
      <c r="A233" t="s">
        <v>251</v>
      </c>
      <c r="B233" s="6">
        <v>45633</v>
      </c>
      <c r="C233" s="6" t="str">
        <f>TEXT(Table14[[#This Row],[Date]],"YYY")</f>
        <v>2024</v>
      </c>
      <c r="D233" s="6" t="str">
        <f>TEXT(Table14[[#This Row],[Date]],"MMMM")</f>
        <v>December</v>
      </c>
      <c r="E233" s="6" t="str">
        <f>"Q" &amp;ROUNDUP(MONTH(Table14[[#This Row],[Date]])/3,0)</f>
        <v>Q4</v>
      </c>
      <c r="F233" s="4" t="s">
        <v>25</v>
      </c>
      <c r="G233" s="4" t="s">
        <v>16</v>
      </c>
      <c r="H233" s="4" t="s">
        <v>21</v>
      </c>
      <c r="I233" s="15">
        <v>765.54</v>
      </c>
      <c r="J233" s="17">
        <v>6</v>
      </c>
      <c r="K233" s="15">
        <v>88.74</v>
      </c>
      <c r="L233" s="15">
        <f>Table14[[#This Row],[Sales]]-Table14[[#This Row],[Cost]]</f>
        <v>676.8</v>
      </c>
    </row>
    <row r="234" spans="1:12" x14ac:dyDescent="0.35">
      <c r="A234" t="s">
        <v>252</v>
      </c>
      <c r="B234" s="6">
        <v>45530</v>
      </c>
      <c r="C234" s="6" t="str">
        <f>TEXT(Table14[[#This Row],[Date]],"YYY")</f>
        <v>2024</v>
      </c>
      <c r="D234" s="6" t="str">
        <f>TEXT(Table14[[#This Row],[Date]],"MMMM")</f>
        <v>August</v>
      </c>
      <c r="E234" s="6" t="str">
        <f>"Q" &amp;ROUNDUP(MONTH(Table14[[#This Row],[Date]])/3,0)</f>
        <v>Q3</v>
      </c>
      <c r="F234" s="4" t="s">
        <v>15</v>
      </c>
      <c r="G234" s="4" t="s">
        <v>16</v>
      </c>
      <c r="H234" s="4" t="s">
        <v>21</v>
      </c>
      <c r="I234" s="15">
        <v>3775.96</v>
      </c>
      <c r="J234" s="17">
        <v>7</v>
      </c>
      <c r="K234" s="15">
        <v>428.69</v>
      </c>
      <c r="L234" s="15">
        <f>Table14[[#This Row],[Sales]]-Table14[[#This Row],[Cost]]</f>
        <v>3347.27</v>
      </c>
    </row>
    <row r="235" spans="1:12" x14ac:dyDescent="0.35">
      <c r="A235" t="s">
        <v>253</v>
      </c>
      <c r="B235" s="6">
        <v>45153</v>
      </c>
      <c r="C235" s="6" t="str">
        <f>TEXT(Table14[[#This Row],[Date]],"YYY")</f>
        <v>2023</v>
      </c>
      <c r="D235" s="6" t="str">
        <f>TEXT(Table14[[#This Row],[Date]],"MMMM")</f>
        <v>August</v>
      </c>
      <c r="E235" s="6" t="str">
        <f>"Q" &amp;ROUNDUP(MONTH(Table14[[#This Row],[Date]])/3,0)</f>
        <v>Q3</v>
      </c>
      <c r="F235" s="4" t="s">
        <v>23</v>
      </c>
      <c r="G235" s="4" t="s">
        <v>16</v>
      </c>
      <c r="H235" s="4" t="s">
        <v>26</v>
      </c>
      <c r="I235" s="15">
        <v>4257.95</v>
      </c>
      <c r="J235" s="17">
        <v>6</v>
      </c>
      <c r="K235" s="15">
        <v>627.71</v>
      </c>
      <c r="L235" s="15">
        <f>Table14[[#This Row],[Sales]]-Table14[[#This Row],[Cost]]</f>
        <v>3630.24</v>
      </c>
    </row>
    <row r="236" spans="1:12" x14ac:dyDescent="0.35">
      <c r="A236" t="s">
        <v>254</v>
      </c>
      <c r="B236" s="6">
        <v>45470</v>
      </c>
      <c r="C236" s="6" t="str">
        <f>TEXT(Table14[[#This Row],[Date]],"YYY")</f>
        <v>2024</v>
      </c>
      <c r="D236" s="6" t="str">
        <f>TEXT(Table14[[#This Row],[Date]],"MMMM")</f>
        <v>June</v>
      </c>
      <c r="E236" s="6" t="str">
        <f>"Q" &amp;ROUNDUP(MONTH(Table14[[#This Row],[Date]])/3,0)</f>
        <v>Q2</v>
      </c>
      <c r="F236" s="4" t="s">
        <v>9</v>
      </c>
      <c r="G236" s="4" t="s">
        <v>10</v>
      </c>
      <c r="H236" s="4" t="s">
        <v>11</v>
      </c>
      <c r="I236" s="15">
        <v>2173.79</v>
      </c>
      <c r="J236" s="17">
        <v>9</v>
      </c>
      <c r="K236" s="15">
        <v>171.24</v>
      </c>
      <c r="L236" s="15">
        <f>Table14[[#This Row],[Sales]]-Table14[[#This Row],[Cost]]</f>
        <v>2002.55</v>
      </c>
    </row>
    <row r="237" spans="1:12" x14ac:dyDescent="0.35">
      <c r="A237" t="s">
        <v>255</v>
      </c>
      <c r="B237" s="6">
        <v>45168</v>
      </c>
      <c r="C237" s="6" t="str">
        <f>TEXT(Table14[[#This Row],[Date]],"YYY")</f>
        <v>2023</v>
      </c>
      <c r="D237" s="6" t="str">
        <f>TEXT(Table14[[#This Row],[Date]],"MMMM")</f>
        <v>August</v>
      </c>
      <c r="E237" s="6" t="str">
        <f>"Q" &amp;ROUNDUP(MONTH(Table14[[#This Row],[Date]])/3,0)</f>
        <v>Q3</v>
      </c>
      <c r="F237" s="4" t="s">
        <v>23</v>
      </c>
      <c r="G237" s="4" t="s">
        <v>16</v>
      </c>
      <c r="H237" s="4" t="s">
        <v>19</v>
      </c>
      <c r="I237" s="15">
        <v>316.49</v>
      </c>
      <c r="J237" s="17">
        <v>2</v>
      </c>
      <c r="K237" s="15">
        <v>134.22999999999999</v>
      </c>
      <c r="L237" s="15">
        <f>Table14[[#This Row],[Sales]]-Table14[[#This Row],[Cost]]</f>
        <v>182.26000000000002</v>
      </c>
    </row>
    <row r="238" spans="1:12" x14ac:dyDescent="0.35">
      <c r="A238" t="s">
        <v>256</v>
      </c>
      <c r="B238" s="6">
        <v>45598</v>
      </c>
      <c r="C238" s="6" t="str">
        <f>TEXT(Table14[[#This Row],[Date]],"YYY")</f>
        <v>2024</v>
      </c>
      <c r="D238" s="6" t="str">
        <f>TEXT(Table14[[#This Row],[Date]],"MMMM")</f>
        <v>November</v>
      </c>
      <c r="E238" s="6" t="str">
        <f>"Q" &amp;ROUNDUP(MONTH(Table14[[#This Row],[Date]])/3,0)</f>
        <v>Q4</v>
      </c>
      <c r="F238" s="4" t="s">
        <v>25</v>
      </c>
      <c r="G238" s="4" t="s">
        <v>16</v>
      </c>
      <c r="H238" s="4" t="s">
        <v>19</v>
      </c>
      <c r="I238" s="15">
        <v>445.77</v>
      </c>
      <c r="J238" s="17">
        <v>2</v>
      </c>
      <c r="K238" s="15">
        <v>158.16999999999999</v>
      </c>
      <c r="L238" s="15">
        <f>Table14[[#This Row],[Sales]]-Table14[[#This Row],[Cost]]</f>
        <v>287.60000000000002</v>
      </c>
    </row>
    <row r="239" spans="1:12" x14ac:dyDescent="0.35">
      <c r="A239" t="s">
        <v>257</v>
      </c>
      <c r="B239" s="6">
        <v>45504</v>
      </c>
      <c r="C239" s="6" t="str">
        <f>TEXT(Table14[[#This Row],[Date]],"YYY")</f>
        <v>2024</v>
      </c>
      <c r="D239" s="6" t="str">
        <f>TEXT(Table14[[#This Row],[Date]],"MMMM")</f>
        <v>July</v>
      </c>
      <c r="E239" s="6" t="str">
        <f>"Q" &amp;ROUNDUP(MONTH(Table14[[#This Row],[Date]])/3,0)</f>
        <v>Q3</v>
      </c>
      <c r="F239" s="4" t="s">
        <v>18</v>
      </c>
      <c r="G239" s="4" t="s">
        <v>10</v>
      </c>
      <c r="H239" s="4" t="s">
        <v>21</v>
      </c>
      <c r="I239" s="15">
        <v>5439.95</v>
      </c>
      <c r="J239" s="17">
        <v>10</v>
      </c>
      <c r="K239" s="15">
        <v>370.15</v>
      </c>
      <c r="L239" s="15">
        <f>Table14[[#This Row],[Sales]]-Table14[[#This Row],[Cost]]</f>
        <v>5069.8</v>
      </c>
    </row>
    <row r="240" spans="1:12" x14ac:dyDescent="0.35">
      <c r="A240" t="s">
        <v>258</v>
      </c>
      <c r="B240" s="6">
        <v>45569</v>
      </c>
      <c r="C240" s="6" t="str">
        <f>TEXT(Table14[[#This Row],[Date]],"YYY")</f>
        <v>2024</v>
      </c>
      <c r="D240" s="6" t="str">
        <f>TEXT(Table14[[#This Row],[Date]],"MMMM")</f>
        <v>October</v>
      </c>
      <c r="E240" s="6" t="str">
        <f>"Q" &amp;ROUNDUP(MONTH(Table14[[#This Row],[Date]])/3,0)</f>
        <v>Q4</v>
      </c>
      <c r="F240" s="4" t="s">
        <v>25</v>
      </c>
      <c r="G240" s="4" t="s">
        <v>16</v>
      </c>
      <c r="H240" s="4" t="s">
        <v>26</v>
      </c>
      <c r="I240" s="15">
        <v>931.73</v>
      </c>
      <c r="J240" s="17">
        <v>6</v>
      </c>
      <c r="K240" s="15">
        <v>137.75</v>
      </c>
      <c r="L240" s="15">
        <f>Table14[[#This Row],[Sales]]-Table14[[#This Row],[Cost]]</f>
        <v>793.98</v>
      </c>
    </row>
    <row r="241" spans="1:12" x14ac:dyDescent="0.35">
      <c r="A241" t="s">
        <v>259</v>
      </c>
      <c r="B241" s="6">
        <v>45208</v>
      </c>
      <c r="C241" s="6" t="str">
        <f>TEXT(Table14[[#This Row],[Date]],"YYY")</f>
        <v>2023</v>
      </c>
      <c r="D241" s="6" t="str">
        <f>TEXT(Table14[[#This Row],[Date]],"MMMM")</f>
        <v>October</v>
      </c>
      <c r="E241" s="6" t="str">
        <f>"Q" &amp;ROUNDUP(MONTH(Table14[[#This Row],[Date]])/3,0)</f>
        <v>Q4</v>
      </c>
      <c r="F241" s="4" t="s">
        <v>18</v>
      </c>
      <c r="G241" s="4" t="s">
        <v>10</v>
      </c>
      <c r="H241" s="4" t="s">
        <v>26</v>
      </c>
      <c r="I241" s="15">
        <v>831.4</v>
      </c>
      <c r="J241" s="17">
        <v>10</v>
      </c>
      <c r="K241" s="15">
        <v>63.81</v>
      </c>
      <c r="L241" s="15">
        <f>Table14[[#This Row],[Sales]]-Table14[[#This Row],[Cost]]</f>
        <v>767.58999999999992</v>
      </c>
    </row>
    <row r="242" spans="1:12" x14ac:dyDescent="0.35">
      <c r="A242" t="s">
        <v>260</v>
      </c>
      <c r="B242" s="6">
        <v>45389</v>
      </c>
      <c r="C242" s="6" t="str">
        <f>TEXT(Table14[[#This Row],[Date]],"YYY")</f>
        <v>2024</v>
      </c>
      <c r="D242" s="6" t="str">
        <f>TEXT(Table14[[#This Row],[Date]],"MMMM")</f>
        <v>April</v>
      </c>
      <c r="E242" s="6" t="str">
        <f>"Q" &amp;ROUNDUP(MONTH(Table14[[#This Row],[Date]])/3,0)</f>
        <v>Q2</v>
      </c>
      <c r="F242" s="4" t="s">
        <v>23</v>
      </c>
      <c r="G242" s="4" t="s">
        <v>16</v>
      </c>
      <c r="H242" s="4" t="s">
        <v>21</v>
      </c>
      <c r="I242" s="15">
        <v>92.22</v>
      </c>
      <c r="J242" s="17">
        <v>1</v>
      </c>
      <c r="K242" s="15">
        <v>64.37</v>
      </c>
      <c r="L242" s="15">
        <f>Table14[[#This Row],[Sales]]-Table14[[#This Row],[Cost]]</f>
        <v>27.849999999999994</v>
      </c>
    </row>
    <row r="243" spans="1:12" x14ac:dyDescent="0.35">
      <c r="A243" t="s">
        <v>261</v>
      </c>
      <c r="B243" s="6">
        <v>45556</v>
      </c>
      <c r="C243" s="6" t="str">
        <f>TEXT(Table14[[#This Row],[Date]],"YYY")</f>
        <v>2024</v>
      </c>
      <c r="D243" s="6" t="str">
        <f>TEXT(Table14[[#This Row],[Date]],"MMMM")</f>
        <v>September</v>
      </c>
      <c r="E243" s="6" t="str">
        <f>"Q" &amp;ROUNDUP(MONTH(Table14[[#This Row],[Date]])/3,0)</f>
        <v>Q3</v>
      </c>
      <c r="F243" s="4" t="s">
        <v>13</v>
      </c>
      <c r="G243" s="4" t="s">
        <v>10</v>
      </c>
      <c r="H243" s="4" t="s">
        <v>11</v>
      </c>
      <c r="I243" s="15">
        <v>5339.66</v>
      </c>
      <c r="J243" s="17">
        <v>10</v>
      </c>
      <c r="K243" s="15">
        <v>415.51</v>
      </c>
      <c r="L243" s="15">
        <f>Table14[[#This Row],[Sales]]-Table14[[#This Row],[Cost]]</f>
        <v>4924.1499999999996</v>
      </c>
    </row>
    <row r="244" spans="1:12" x14ac:dyDescent="0.35">
      <c r="A244" t="s">
        <v>262</v>
      </c>
      <c r="B244" s="6">
        <v>45387</v>
      </c>
      <c r="C244" s="6" t="str">
        <f>TEXT(Table14[[#This Row],[Date]],"YYY")</f>
        <v>2024</v>
      </c>
      <c r="D244" s="6" t="str">
        <f>TEXT(Table14[[#This Row],[Date]],"MMMM")</f>
        <v>April</v>
      </c>
      <c r="E244" s="6" t="str">
        <f>"Q" &amp;ROUNDUP(MONTH(Table14[[#This Row],[Date]])/3,0)</f>
        <v>Q2</v>
      </c>
      <c r="F244" s="4" t="s">
        <v>25</v>
      </c>
      <c r="G244" s="4" t="s">
        <v>16</v>
      </c>
      <c r="H244" s="4" t="s">
        <v>11</v>
      </c>
      <c r="I244" s="15">
        <v>6492.35</v>
      </c>
      <c r="J244" s="17">
        <v>10</v>
      </c>
      <c r="K244" s="15">
        <v>528.42999999999995</v>
      </c>
      <c r="L244" s="15">
        <f>Table14[[#This Row],[Sales]]-Table14[[#This Row],[Cost]]</f>
        <v>5963.92</v>
      </c>
    </row>
    <row r="245" spans="1:12" x14ac:dyDescent="0.35">
      <c r="A245" t="s">
        <v>263</v>
      </c>
      <c r="B245" s="6">
        <v>44990</v>
      </c>
      <c r="C245" s="6" t="str">
        <f>TEXT(Table14[[#This Row],[Date]],"YYY")</f>
        <v>2023</v>
      </c>
      <c r="D245" s="6" t="str">
        <f>TEXT(Table14[[#This Row],[Date]],"MMMM")</f>
        <v>March</v>
      </c>
      <c r="E245" s="6" t="str">
        <f>"Q" &amp;ROUNDUP(MONTH(Table14[[#This Row],[Date]])/3,0)</f>
        <v>Q1</v>
      </c>
      <c r="F245" s="4" t="s">
        <v>18</v>
      </c>
      <c r="G245" s="4" t="s">
        <v>10</v>
      </c>
      <c r="H245" s="4" t="s">
        <v>19</v>
      </c>
      <c r="I245" s="15">
        <v>1176.24</v>
      </c>
      <c r="J245" s="17">
        <v>8</v>
      </c>
      <c r="K245" s="15">
        <v>100.73</v>
      </c>
      <c r="L245" s="15">
        <f>Table14[[#This Row],[Sales]]-Table14[[#This Row],[Cost]]</f>
        <v>1075.51</v>
      </c>
    </row>
    <row r="246" spans="1:12" x14ac:dyDescent="0.35">
      <c r="A246" t="s">
        <v>264</v>
      </c>
      <c r="B246" s="6">
        <v>45443</v>
      </c>
      <c r="C246" s="6" t="str">
        <f>TEXT(Table14[[#This Row],[Date]],"YYY")</f>
        <v>2024</v>
      </c>
      <c r="D246" s="6" t="str">
        <f>TEXT(Table14[[#This Row],[Date]],"MMMM")</f>
        <v>May</v>
      </c>
      <c r="E246" s="6" t="str">
        <f>"Q" &amp;ROUNDUP(MONTH(Table14[[#This Row],[Date]])/3,0)</f>
        <v>Q2</v>
      </c>
      <c r="F246" s="4" t="s">
        <v>23</v>
      </c>
      <c r="G246" s="4" t="s">
        <v>16</v>
      </c>
      <c r="H246" s="4" t="s">
        <v>11</v>
      </c>
      <c r="I246" s="15">
        <v>209.66</v>
      </c>
      <c r="J246" s="17">
        <v>3</v>
      </c>
      <c r="K246" s="15">
        <v>50.53</v>
      </c>
      <c r="L246" s="15">
        <f>Table14[[#This Row],[Sales]]-Table14[[#This Row],[Cost]]</f>
        <v>159.13</v>
      </c>
    </row>
    <row r="247" spans="1:12" x14ac:dyDescent="0.35">
      <c r="A247" t="s">
        <v>265</v>
      </c>
      <c r="B247" s="6">
        <v>45299</v>
      </c>
      <c r="C247" s="6" t="str">
        <f>TEXT(Table14[[#This Row],[Date]],"YYY")</f>
        <v>2024</v>
      </c>
      <c r="D247" s="6" t="str">
        <f>TEXT(Table14[[#This Row],[Date]],"MMMM")</f>
        <v>January</v>
      </c>
      <c r="E247" s="6" t="str">
        <f>"Q" &amp;ROUNDUP(MONTH(Table14[[#This Row],[Date]])/3,0)</f>
        <v>Q1</v>
      </c>
      <c r="F247" s="4" t="s">
        <v>18</v>
      </c>
      <c r="G247" s="4" t="s">
        <v>10</v>
      </c>
      <c r="H247" s="4" t="s">
        <v>19</v>
      </c>
      <c r="I247" s="15">
        <v>5541.86</v>
      </c>
      <c r="J247" s="17">
        <v>6</v>
      </c>
      <c r="K247" s="15">
        <v>735.99</v>
      </c>
      <c r="L247" s="15">
        <f>Table14[[#This Row],[Sales]]-Table14[[#This Row],[Cost]]</f>
        <v>4805.87</v>
      </c>
    </row>
    <row r="248" spans="1:12" x14ac:dyDescent="0.35">
      <c r="A248" t="s">
        <v>266</v>
      </c>
      <c r="B248" s="6">
        <v>45573</v>
      </c>
      <c r="C248" s="6" t="str">
        <f>TEXT(Table14[[#This Row],[Date]],"YYY")</f>
        <v>2024</v>
      </c>
      <c r="D248" s="6" t="str">
        <f>TEXT(Table14[[#This Row],[Date]],"MMMM")</f>
        <v>October</v>
      </c>
      <c r="E248" s="6" t="str">
        <f>"Q" &amp;ROUNDUP(MONTH(Table14[[#This Row],[Date]])/3,0)</f>
        <v>Q4</v>
      </c>
      <c r="F248" s="4" t="s">
        <v>23</v>
      </c>
      <c r="G248" s="4" t="s">
        <v>16</v>
      </c>
      <c r="H248" s="4" t="s">
        <v>11</v>
      </c>
      <c r="I248" s="15">
        <v>487.5</v>
      </c>
      <c r="J248" s="17">
        <v>6</v>
      </c>
      <c r="K248" s="15">
        <v>71.41</v>
      </c>
      <c r="L248" s="15">
        <f>Table14[[#This Row],[Sales]]-Table14[[#This Row],[Cost]]</f>
        <v>416.09000000000003</v>
      </c>
    </row>
    <row r="249" spans="1:12" x14ac:dyDescent="0.35">
      <c r="A249" t="s">
        <v>267</v>
      </c>
      <c r="B249" s="6">
        <v>45217</v>
      </c>
      <c r="C249" s="6" t="str">
        <f>TEXT(Table14[[#This Row],[Date]],"YYY")</f>
        <v>2023</v>
      </c>
      <c r="D249" s="6" t="str">
        <f>TEXT(Table14[[#This Row],[Date]],"MMMM")</f>
        <v>October</v>
      </c>
      <c r="E249" s="6" t="str">
        <f>"Q" &amp;ROUNDUP(MONTH(Table14[[#This Row],[Date]])/3,0)</f>
        <v>Q4</v>
      </c>
      <c r="F249" s="4" t="s">
        <v>9</v>
      </c>
      <c r="G249" s="4" t="s">
        <v>10</v>
      </c>
      <c r="H249" s="4" t="s">
        <v>21</v>
      </c>
      <c r="I249" s="15">
        <v>3982.34</v>
      </c>
      <c r="J249" s="17">
        <v>5</v>
      </c>
      <c r="K249" s="15">
        <v>584.51</v>
      </c>
      <c r="L249" s="15">
        <f>Table14[[#This Row],[Sales]]-Table14[[#This Row],[Cost]]</f>
        <v>3397.83</v>
      </c>
    </row>
    <row r="250" spans="1:12" x14ac:dyDescent="0.35">
      <c r="A250" t="s">
        <v>268</v>
      </c>
      <c r="B250" s="6">
        <v>45268</v>
      </c>
      <c r="C250" s="6" t="str">
        <f>TEXT(Table14[[#This Row],[Date]],"YYY")</f>
        <v>2023</v>
      </c>
      <c r="D250" s="6" t="str">
        <f>TEXT(Table14[[#This Row],[Date]],"MMMM")</f>
        <v>December</v>
      </c>
      <c r="E250" s="6" t="str">
        <f>"Q" &amp;ROUNDUP(MONTH(Table14[[#This Row],[Date]])/3,0)</f>
        <v>Q4</v>
      </c>
      <c r="F250" s="4" t="s">
        <v>25</v>
      </c>
      <c r="G250" s="4" t="s">
        <v>16</v>
      </c>
      <c r="H250" s="4" t="s">
        <v>19</v>
      </c>
      <c r="I250" s="15">
        <v>1097.68</v>
      </c>
      <c r="J250" s="17">
        <v>2</v>
      </c>
      <c r="K250" s="15">
        <v>474.54</v>
      </c>
      <c r="L250" s="15">
        <f>Table14[[#This Row],[Sales]]-Table14[[#This Row],[Cost]]</f>
        <v>623.1400000000001</v>
      </c>
    </row>
    <row r="251" spans="1:12" x14ac:dyDescent="0.35">
      <c r="A251" t="s">
        <v>269</v>
      </c>
      <c r="B251" s="6">
        <v>45598</v>
      </c>
      <c r="C251" s="6" t="str">
        <f>TEXT(Table14[[#This Row],[Date]],"YYY")</f>
        <v>2024</v>
      </c>
      <c r="D251" s="6" t="str">
        <f>TEXT(Table14[[#This Row],[Date]],"MMMM")</f>
        <v>November</v>
      </c>
      <c r="E251" s="6" t="str">
        <f>"Q" &amp;ROUNDUP(MONTH(Table14[[#This Row],[Date]])/3,0)</f>
        <v>Q4</v>
      </c>
      <c r="F251" s="4" t="s">
        <v>23</v>
      </c>
      <c r="G251" s="4" t="s">
        <v>16</v>
      </c>
      <c r="H251" s="4" t="s">
        <v>26</v>
      </c>
      <c r="I251" s="15">
        <v>1167.79</v>
      </c>
      <c r="J251" s="17">
        <v>7</v>
      </c>
      <c r="K251" s="15">
        <v>120.58</v>
      </c>
      <c r="L251" s="15">
        <f>Table14[[#This Row],[Sales]]-Table14[[#This Row],[Cost]]</f>
        <v>1047.21</v>
      </c>
    </row>
    <row r="252" spans="1:12" x14ac:dyDescent="0.35">
      <c r="A252" t="s">
        <v>270</v>
      </c>
      <c r="B252" s="6">
        <v>45499</v>
      </c>
      <c r="C252" s="6" t="str">
        <f>TEXT(Table14[[#This Row],[Date]],"YYY")</f>
        <v>2024</v>
      </c>
      <c r="D252" s="6" t="str">
        <f>TEXT(Table14[[#This Row],[Date]],"MMMM")</f>
        <v>July</v>
      </c>
      <c r="E252" s="6" t="str">
        <f>"Q" &amp;ROUNDUP(MONTH(Table14[[#This Row],[Date]])/3,0)</f>
        <v>Q3</v>
      </c>
      <c r="F252" s="4" t="s">
        <v>13</v>
      </c>
      <c r="G252" s="4" t="s">
        <v>10</v>
      </c>
      <c r="H252" s="4" t="s">
        <v>26</v>
      </c>
      <c r="I252" s="15">
        <v>4498.8100000000004</v>
      </c>
      <c r="J252" s="17">
        <v>7</v>
      </c>
      <c r="K252" s="15">
        <v>521.91999999999996</v>
      </c>
      <c r="L252" s="15">
        <f>Table14[[#This Row],[Sales]]-Table14[[#This Row],[Cost]]</f>
        <v>3976.8900000000003</v>
      </c>
    </row>
    <row r="253" spans="1:12" x14ac:dyDescent="0.35">
      <c r="A253" t="s">
        <v>271</v>
      </c>
      <c r="B253" s="6">
        <v>45588</v>
      </c>
      <c r="C253" s="6" t="str">
        <f>TEXT(Table14[[#This Row],[Date]],"YYY")</f>
        <v>2024</v>
      </c>
      <c r="D253" s="6" t="str">
        <f>TEXT(Table14[[#This Row],[Date]],"MMMM")</f>
        <v>October</v>
      </c>
      <c r="E253" s="6" t="str">
        <f>"Q" &amp;ROUNDUP(MONTH(Table14[[#This Row],[Date]])/3,0)</f>
        <v>Q4</v>
      </c>
      <c r="F253" s="4" t="s">
        <v>15</v>
      </c>
      <c r="G253" s="4" t="s">
        <v>16</v>
      </c>
      <c r="H253" s="4" t="s">
        <v>11</v>
      </c>
      <c r="I253" s="15">
        <v>3229.24</v>
      </c>
      <c r="J253" s="17">
        <v>7</v>
      </c>
      <c r="K253" s="15">
        <v>416.62</v>
      </c>
      <c r="L253" s="15">
        <f>Table14[[#This Row],[Sales]]-Table14[[#This Row],[Cost]]</f>
        <v>2812.62</v>
      </c>
    </row>
    <row r="254" spans="1:12" x14ac:dyDescent="0.35">
      <c r="A254" t="s">
        <v>272</v>
      </c>
      <c r="B254" s="6">
        <v>45146</v>
      </c>
      <c r="C254" s="6" t="str">
        <f>TEXT(Table14[[#This Row],[Date]],"YYY")</f>
        <v>2023</v>
      </c>
      <c r="D254" s="6" t="str">
        <f>TEXT(Table14[[#This Row],[Date]],"MMMM")</f>
        <v>August</v>
      </c>
      <c r="E254" s="6" t="str">
        <f>"Q" &amp;ROUNDUP(MONTH(Table14[[#This Row],[Date]])/3,0)</f>
        <v>Q3</v>
      </c>
      <c r="F254" s="4" t="s">
        <v>23</v>
      </c>
      <c r="G254" s="4" t="s">
        <v>16</v>
      </c>
      <c r="H254" s="4" t="s">
        <v>19</v>
      </c>
      <c r="I254" s="15">
        <v>5896.59</v>
      </c>
      <c r="J254" s="17">
        <v>6</v>
      </c>
      <c r="K254" s="15">
        <v>759.18</v>
      </c>
      <c r="L254" s="15">
        <f>Table14[[#This Row],[Sales]]-Table14[[#This Row],[Cost]]</f>
        <v>5137.41</v>
      </c>
    </row>
    <row r="255" spans="1:12" x14ac:dyDescent="0.35">
      <c r="A255" t="s">
        <v>273</v>
      </c>
      <c r="B255" s="6">
        <v>45085</v>
      </c>
      <c r="C255" s="6" t="str">
        <f>TEXT(Table14[[#This Row],[Date]],"YYY")</f>
        <v>2023</v>
      </c>
      <c r="D255" s="6" t="str">
        <f>TEXT(Table14[[#This Row],[Date]],"MMMM")</f>
        <v>June</v>
      </c>
      <c r="E255" s="6" t="str">
        <f>"Q" &amp;ROUNDUP(MONTH(Table14[[#This Row],[Date]])/3,0)</f>
        <v>Q2</v>
      </c>
      <c r="F255" s="4" t="s">
        <v>15</v>
      </c>
      <c r="G255" s="4" t="s">
        <v>16</v>
      </c>
      <c r="H255" s="4" t="s">
        <v>19</v>
      </c>
      <c r="I255" s="15">
        <v>709.66</v>
      </c>
      <c r="J255" s="17">
        <v>2</v>
      </c>
      <c r="K255" s="15">
        <v>250.72</v>
      </c>
      <c r="L255" s="15">
        <f>Table14[[#This Row],[Sales]]-Table14[[#This Row],[Cost]]</f>
        <v>458.93999999999994</v>
      </c>
    </row>
    <row r="256" spans="1:12" x14ac:dyDescent="0.35">
      <c r="A256" t="s">
        <v>274</v>
      </c>
      <c r="B256" s="6">
        <v>45604</v>
      </c>
      <c r="C256" s="6" t="str">
        <f>TEXT(Table14[[#This Row],[Date]],"YYY")</f>
        <v>2024</v>
      </c>
      <c r="D256" s="6" t="str">
        <f>TEXT(Table14[[#This Row],[Date]],"MMMM")</f>
        <v>November</v>
      </c>
      <c r="E256" s="6" t="str">
        <f>"Q" &amp;ROUNDUP(MONTH(Table14[[#This Row],[Date]])/3,0)</f>
        <v>Q4</v>
      </c>
      <c r="F256" s="4" t="s">
        <v>25</v>
      </c>
      <c r="G256" s="4" t="s">
        <v>16</v>
      </c>
      <c r="H256" s="4" t="s">
        <v>11</v>
      </c>
      <c r="I256" s="15">
        <v>5687.31</v>
      </c>
      <c r="J256" s="17">
        <v>6</v>
      </c>
      <c r="K256" s="15">
        <v>703.59</v>
      </c>
      <c r="L256" s="15">
        <f>Table14[[#This Row],[Sales]]-Table14[[#This Row],[Cost]]</f>
        <v>4983.72</v>
      </c>
    </row>
    <row r="257" spans="1:12" x14ac:dyDescent="0.35">
      <c r="A257" t="s">
        <v>275</v>
      </c>
      <c r="B257" s="6">
        <v>45084</v>
      </c>
      <c r="C257" s="6" t="str">
        <f>TEXT(Table14[[#This Row],[Date]],"YYY")</f>
        <v>2023</v>
      </c>
      <c r="D257" s="6" t="str">
        <f>TEXT(Table14[[#This Row],[Date]],"MMMM")</f>
        <v>June</v>
      </c>
      <c r="E257" s="6" t="str">
        <f>"Q" &amp;ROUNDUP(MONTH(Table14[[#This Row],[Date]])/3,0)</f>
        <v>Q2</v>
      </c>
      <c r="F257" s="4" t="s">
        <v>25</v>
      </c>
      <c r="G257" s="4" t="s">
        <v>16</v>
      </c>
      <c r="H257" s="4" t="s">
        <v>21</v>
      </c>
      <c r="I257" s="15">
        <v>665.41</v>
      </c>
      <c r="J257" s="17">
        <v>3</v>
      </c>
      <c r="K257" s="15">
        <v>161.06</v>
      </c>
      <c r="L257" s="15">
        <f>Table14[[#This Row],[Sales]]-Table14[[#This Row],[Cost]]</f>
        <v>504.34999999999997</v>
      </c>
    </row>
    <row r="258" spans="1:12" x14ac:dyDescent="0.35">
      <c r="A258" t="s">
        <v>276</v>
      </c>
      <c r="B258" s="6">
        <v>45375</v>
      </c>
      <c r="C258" s="6" t="str">
        <f>TEXT(Table14[[#This Row],[Date]],"YYY")</f>
        <v>2024</v>
      </c>
      <c r="D258" s="6" t="str">
        <f>TEXT(Table14[[#This Row],[Date]],"MMMM")</f>
        <v>March</v>
      </c>
      <c r="E258" s="6" t="str">
        <f>"Q" &amp;ROUNDUP(MONTH(Table14[[#This Row],[Date]])/3,0)</f>
        <v>Q1</v>
      </c>
      <c r="F258" s="4" t="s">
        <v>25</v>
      </c>
      <c r="G258" s="4" t="s">
        <v>16</v>
      </c>
      <c r="H258" s="4" t="s">
        <v>19</v>
      </c>
      <c r="I258" s="15">
        <v>466.63</v>
      </c>
      <c r="J258" s="17">
        <v>1</v>
      </c>
      <c r="K258" s="15">
        <v>340.47</v>
      </c>
      <c r="L258" s="15">
        <f>Table14[[#This Row],[Sales]]-Table14[[#This Row],[Cost]]</f>
        <v>126.15999999999997</v>
      </c>
    </row>
    <row r="259" spans="1:12" x14ac:dyDescent="0.35">
      <c r="A259" t="s">
        <v>277</v>
      </c>
      <c r="B259" s="6">
        <v>45552</v>
      </c>
      <c r="C259" s="6" t="str">
        <f>TEXT(Table14[[#This Row],[Date]],"YYY")</f>
        <v>2024</v>
      </c>
      <c r="D259" s="6" t="str">
        <f>TEXT(Table14[[#This Row],[Date]],"MMMM")</f>
        <v>September</v>
      </c>
      <c r="E259" s="6" t="str">
        <f>"Q" &amp;ROUNDUP(MONTH(Table14[[#This Row],[Date]])/3,0)</f>
        <v>Q3</v>
      </c>
      <c r="F259" s="4" t="s">
        <v>15</v>
      </c>
      <c r="G259" s="4" t="s">
        <v>16</v>
      </c>
      <c r="H259" s="4" t="s">
        <v>21</v>
      </c>
      <c r="I259" s="15">
        <v>4289.1099999999997</v>
      </c>
      <c r="J259" s="17">
        <v>5</v>
      </c>
      <c r="K259" s="15">
        <v>606.87</v>
      </c>
      <c r="L259" s="15">
        <f>Table14[[#This Row],[Sales]]-Table14[[#This Row],[Cost]]</f>
        <v>3682.24</v>
      </c>
    </row>
    <row r="260" spans="1:12" x14ac:dyDescent="0.35">
      <c r="A260" t="s">
        <v>278</v>
      </c>
      <c r="B260" s="6">
        <v>45243</v>
      </c>
      <c r="C260" s="6" t="str">
        <f>TEXT(Table14[[#This Row],[Date]],"YYY")</f>
        <v>2023</v>
      </c>
      <c r="D260" s="6" t="str">
        <f>TEXT(Table14[[#This Row],[Date]],"MMMM")</f>
        <v>November</v>
      </c>
      <c r="E260" s="6" t="str">
        <f>"Q" &amp;ROUNDUP(MONTH(Table14[[#This Row],[Date]])/3,0)</f>
        <v>Q4</v>
      </c>
      <c r="F260" s="4" t="s">
        <v>15</v>
      </c>
      <c r="G260" s="4" t="s">
        <v>16</v>
      </c>
      <c r="H260" s="4" t="s">
        <v>19</v>
      </c>
      <c r="I260" s="15">
        <v>6831.06</v>
      </c>
      <c r="J260" s="17">
        <v>8</v>
      </c>
      <c r="K260" s="15">
        <v>725.1</v>
      </c>
      <c r="L260" s="15">
        <f>Table14[[#This Row],[Sales]]-Table14[[#This Row],[Cost]]</f>
        <v>6105.96</v>
      </c>
    </row>
    <row r="261" spans="1:12" x14ac:dyDescent="0.35">
      <c r="A261" t="s">
        <v>279</v>
      </c>
      <c r="B261" s="6">
        <v>45399</v>
      </c>
      <c r="C261" s="6" t="str">
        <f>TEXT(Table14[[#This Row],[Date]],"YYY")</f>
        <v>2024</v>
      </c>
      <c r="D261" s="6" t="str">
        <f>TEXT(Table14[[#This Row],[Date]],"MMMM")</f>
        <v>April</v>
      </c>
      <c r="E261" s="6" t="str">
        <f>"Q" &amp;ROUNDUP(MONTH(Table14[[#This Row],[Date]])/3,0)</f>
        <v>Q2</v>
      </c>
      <c r="F261" s="4" t="s">
        <v>9</v>
      </c>
      <c r="G261" s="4" t="s">
        <v>10</v>
      </c>
      <c r="H261" s="4" t="s">
        <v>21</v>
      </c>
      <c r="I261" s="15">
        <v>4078.75</v>
      </c>
      <c r="J261" s="17">
        <v>5</v>
      </c>
      <c r="K261" s="15">
        <v>626.94000000000005</v>
      </c>
      <c r="L261" s="15">
        <f>Table14[[#This Row],[Sales]]-Table14[[#This Row],[Cost]]</f>
        <v>3451.81</v>
      </c>
    </row>
    <row r="262" spans="1:12" x14ac:dyDescent="0.35">
      <c r="A262" t="s">
        <v>280</v>
      </c>
      <c r="B262" s="6">
        <v>45131</v>
      </c>
      <c r="C262" s="6" t="str">
        <f>TEXT(Table14[[#This Row],[Date]],"YYY")</f>
        <v>2023</v>
      </c>
      <c r="D262" s="6" t="str">
        <f>TEXT(Table14[[#This Row],[Date]],"MMMM")</f>
        <v>July</v>
      </c>
      <c r="E262" s="6" t="str">
        <f>"Q" &amp;ROUNDUP(MONTH(Table14[[#This Row],[Date]])/3,0)</f>
        <v>Q3</v>
      </c>
      <c r="F262" s="4" t="s">
        <v>18</v>
      </c>
      <c r="G262" s="4" t="s">
        <v>10</v>
      </c>
      <c r="H262" s="4" t="s">
        <v>19</v>
      </c>
      <c r="I262" s="15">
        <v>1535.4</v>
      </c>
      <c r="J262" s="17">
        <v>10</v>
      </c>
      <c r="K262" s="15">
        <v>127.95</v>
      </c>
      <c r="L262" s="15">
        <f>Table14[[#This Row],[Sales]]-Table14[[#This Row],[Cost]]</f>
        <v>1407.45</v>
      </c>
    </row>
    <row r="263" spans="1:12" x14ac:dyDescent="0.35">
      <c r="A263" t="s">
        <v>281</v>
      </c>
      <c r="B263" s="6">
        <v>45307</v>
      </c>
      <c r="C263" s="6" t="str">
        <f>TEXT(Table14[[#This Row],[Date]],"YYY")</f>
        <v>2024</v>
      </c>
      <c r="D263" s="6" t="str">
        <f>TEXT(Table14[[#This Row],[Date]],"MMMM")</f>
        <v>January</v>
      </c>
      <c r="E263" s="6" t="str">
        <f>"Q" &amp;ROUNDUP(MONTH(Table14[[#This Row],[Date]])/3,0)</f>
        <v>Q1</v>
      </c>
      <c r="F263" s="4" t="s">
        <v>9</v>
      </c>
      <c r="G263" s="4" t="s">
        <v>10</v>
      </c>
      <c r="H263" s="4" t="s">
        <v>21</v>
      </c>
      <c r="I263" s="15">
        <v>9330.2099999999991</v>
      </c>
      <c r="J263" s="17">
        <v>9</v>
      </c>
      <c r="K263" s="15">
        <v>748.75</v>
      </c>
      <c r="L263" s="15">
        <f>Table14[[#This Row],[Sales]]-Table14[[#This Row],[Cost]]</f>
        <v>8581.4599999999991</v>
      </c>
    </row>
    <row r="264" spans="1:12" x14ac:dyDescent="0.35">
      <c r="A264" t="s">
        <v>282</v>
      </c>
      <c r="B264" s="6">
        <v>45218</v>
      </c>
      <c r="C264" s="6" t="str">
        <f>TEXT(Table14[[#This Row],[Date]],"YYY")</f>
        <v>2023</v>
      </c>
      <c r="D264" s="6" t="str">
        <f>TEXT(Table14[[#This Row],[Date]],"MMMM")</f>
        <v>October</v>
      </c>
      <c r="E264" s="6" t="str">
        <f>"Q" &amp;ROUNDUP(MONTH(Table14[[#This Row],[Date]])/3,0)</f>
        <v>Q4</v>
      </c>
      <c r="F264" s="4" t="s">
        <v>25</v>
      </c>
      <c r="G264" s="4" t="s">
        <v>16</v>
      </c>
      <c r="H264" s="4" t="s">
        <v>11</v>
      </c>
      <c r="I264" s="15">
        <v>1487.77</v>
      </c>
      <c r="J264" s="17">
        <v>2</v>
      </c>
      <c r="K264" s="15">
        <v>615.23</v>
      </c>
      <c r="L264" s="15">
        <f>Table14[[#This Row],[Sales]]-Table14[[#This Row],[Cost]]</f>
        <v>872.54</v>
      </c>
    </row>
    <row r="265" spans="1:12" x14ac:dyDescent="0.35">
      <c r="A265" t="s">
        <v>283</v>
      </c>
      <c r="B265" s="6">
        <v>45374</v>
      </c>
      <c r="C265" s="6" t="str">
        <f>TEXT(Table14[[#This Row],[Date]],"YYY")</f>
        <v>2024</v>
      </c>
      <c r="D265" s="6" t="str">
        <f>TEXT(Table14[[#This Row],[Date]],"MMMM")</f>
        <v>March</v>
      </c>
      <c r="E265" s="6" t="str">
        <f>"Q" &amp;ROUNDUP(MONTH(Table14[[#This Row],[Date]])/3,0)</f>
        <v>Q1</v>
      </c>
      <c r="F265" s="4" t="s">
        <v>25</v>
      </c>
      <c r="G265" s="4" t="s">
        <v>16</v>
      </c>
      <c r="H265" s="4" t="s">
        <v>19</v>
      </c>
      <c r="I265" s="15">
        <v>1802.72</v>
      </c>
      <c r="J265" s="17">
        <v>2</v>
      </c>
      <c r="K265" s="15">
        <v>758.2</v>
      </c>
      <c r="L265" s="15">
        <f>Table14[[#This Row],[Sales]]-Table14[[#This Row],[Cost]]</f>
        <v>1044.52</v>
      </c>
    </row>
    <row r="266" spans="1:12" x14ac:dyDescent="0.35">
      <c r="A266" t="s">
        <v>284</v>
      </c>
      <c r="B266" s="6">
        <v>44954</v>
      </c>
      <c r="C266" s="6" t="str">
        <f>TEXT(Table14[[#This Row],[Date]],"YYY")</f>
        <v>2023</v>
      </c>
      <c r="D266" s="6" t="str">
        <f>TEXT(Table14[[#This Row],[Date]],"MMMM")</f>
        <v>January</v>
      </c>
      <c r="E266" s="6" t="str">
        <f>"Q" &amp;ROUNDUP(MONTH(Table14[[#This Row],[Date]])/3,0)</f>
        <v>Q1</v>
      </c>
      <c r="F266" s="4" t="s">
        <v>18</v>
      </c>
      <c r="G266" s="4" t="s">
        <v>10</v>
      </c>
      <c r="H266" s="4" t="s">
        <v>26</v>
      </c>
      <c r="I266" s="15">
        <v>560.36</v>
      </c>
      <c r="J266" s="17">
        <v>7</v>
      </c>
      <c r="K266" s="15">
        <v>61.54</v>
      </c>
      <c r="L266" s="15">
        <f>Table14[[#This Row],[Sales]]-Table14[[#This Row],[Cost]]</f>
        <v>498.82</v>
      </c>
    </row>
    <row r="267" spans="1:12" x14ac:dyDescent="0.35">
      <c r="A267" t="s">
        <v>285</v>
      </c>
      <c r="B267" s="6">
        <v>45010</v>
      </c>
      <c r="C267" s="6" t="str">
        <f>TEXT(Table14[[#This Row],[Date]],"YYY")</f>
        <v>2023</v>
      </c>
      <c r="D267" s="6" t="str">
        <f>TEXT(Table14[[#This Row],[Date]],"MMMM")</f>
        <v>March</v>
      </c>
      <c r="E267" s="6" t="str">
        <f>"Q" &amp;ROUNDUP(MONTH(Table14[[#This Row],[Date]])/3,0)</f>
        <v>Q1</v>
      </c>
      <c r="F267" s="4" t="s">
        <v>15</v>
      </c>
      <c r="G267" s="4" t="s">
        <v>16</v>
      </c>
      <c r="H267" s="4" t="s">
        <v>21</v>
      </c>
      <c r="I267" s="15">
        <v>1437.18</v>
      </c>
      <c r="J267" s="17">
        <v>6</v>
      </c>
      <c r="K267" s="15">
        <v>195.14</v>
      </c>
      <c r="L267" s="15">
        <f>Table14[[#This Row],[Sales]]-Table14[[#This Row],[Cost]]</f>
        <v>1242.04</v>
      </c>
    </row>
    <row r="268" spans="1:12" x14ac:dyDescent="0.35">
      <c r="A268" t="s">
        <v>286</v>
      </c>
      <c r="B268" s="6">
        <v>45076</v>
      </c>
      <c r="C268" s="6" t="str">
        <f>TEXT(Table14[[#This Row],[Date]],"YYY")</f>
        <v>2023</v>
      </c>
      <c r="D268" s="6" t="str">
        <f>TEXT(Table14[[#This Row],[Date]],"MMMM")</f>
        <v>May</v>
      </c>
      <c r="E268" s="6" t="str">
        <f>"Q" &amp;ROUNDUP(MONTH(Table14[[#This Row],[Date]])/3,0)</f>
        <v>Q2</v>
      </c>
      <c r="F268" s="4" t="s">
        <v>13</v>
      </c>
      <c r="G268" s="4" t="s">
        <v>10</v>
      </c>
      <c r="H268" s="4" t="s">
        <v>26</v>
      </c>
      <c r="I268" s="15">
        <v>219.52</v>
      </c>
      <c r="J268" s="17">
        <v>3</v>
      </c>
      <c r="K268" s="15">
        <v>49.88</v>
      </c>
      <c r="L268" s="15">
        <f>Table14[[#This Row],[Sales]]-Table14[[#This Row],[Cost]]</f>
        <v>169.64000000000001</v>
      </c>
    </row>
    <row r="269" spans="1:12" x14ac:dyDescent="0.35">
      <c r="A269" t="s">
        <v>287</v>
      </c>
      <c r="B269" s="6">
        <v>45649</v>
      </c>
      <c r="C269" s="6" t="str">
        <f>TEXT(Table14[[#This Row],[Date]],"YYY")</f>
        <v>2024</v>
      </c>
      <c r="D269" s="6" t="str">
        <f>TEXT(Table14[[#This Row],[Date]],"MMMM")</f>
        <v>December</v>
      </c>
      <c r="E269" s="6" t="str">
        <f>"Q" &amp;ROUNDUP(MONTH(Table14[[#This Row],[Date]])/3,0)</f>
        <v>Q4</v>
      </c>
      <c r="F269" s="4" t="s">
        <v>18</v>
      </c>
      <c r="G269" s="4" t="s">
        <v>10</v>
      </c>
      <c r="H269" s="4" t="s">
        <v>19</v>
      </c>
      <c r="I269" s="15">
        <v>3261.42</v>
      </c>
      <c r="J269" s="17">
        <v>8</v>
      </c>
      <c r="K269" s="15">
        <v>369.91</v>
      </c>
      <c r="L269" s="15">
        <f>Table14[[#This Row],[Sales]]-Table14[[#This Row],[Cost]]</f>
        <v>2891.51</v>
      </c>
    </row>
    <row r="270" spans="1:12" x14ac:dyDescent="0.35">
      <c r="A270" t="s">
        <v>288</v>
      </c>
      <c r="B270" s="6">
        <v>45189</v>
      </c>
      <c r="C270" s="6" t="str">
        <f>TEXT(Table14[[#This Row],[Date]],"YYY")</f>
        <v>2023</v>
      </c>
      <c r="D270" s="6" t="str">
        <f>TEXT(Table14[[#This Row],[Date]],"MMMM")</f>
        <v>September</v>
      </c>
      <c r="E270" s="6" t="str">
        <f>"Q" &amp;ROUNDUP(MONTH(Table14[[#This Row],[Date]])/3,0)</f>
        <v>Q3</v>
      </c>
      <c r="F270" s="4" t="s">
        <v>13</v>
      </c>
      <c r="G270" s="4" t="s">
        <v>10</v>
      </c>
      <c r="H270" s="4" t="s">
        <v>11</v>
      </c>
      <c r="I270" s="15">
        <v>3543.02</v>
      </c>
      <c r="J270" s="17">
        <v>4</v>
      </c>
      <c r="K270" s="15">
        <v>671.27</v>
      </c>
      <c r="L270" s="15">
        <f>Table14[[#This Row],[Sales]]-Table14[[#This Row],[Cost]]</f>
        <v>2871.75</v>
      </c>
    </row>
    <row r="271" spans="1:12" x14ac:dyDescent="0.35">
      <c r="A271" t="s">
        <v>289</v>
      </c>
      <c r="B271" s="6">
        <v>45040</v>
      </c>
      <c r="C271" s="6" t="str">
        <f>TEXT(Table14[[#This Row],[Date]],"YYY")</f>
        <v>2023</v>
      </c>
      <c r="D271" s="6" t="str">
        <f>TEXT(Table14[[#This Row],[Date]],"MMMM")</f>
        <v>April</v>
      </c>
      <c r="E271" s="6" t="str">
        <f>"Q" &amp;ROUNDUP(MONTH(Table14[[#This Row],[Date]])/3,0)</f>
        <v>Q2</v>
      </c>
      <c r="F271" s="4" t="s">
        <v>9</v>
      </c>
      <c r="G271" s="4" t="s">
        <v>10</v>
      </c>
      <c r="H271" s="4" t="s">
        <v>21</v>
      </c>
      <c r="I271" s="15">
        <v>1179.53</v>
      </c>
      <c r="J271" s="17">
        <v>5</v>
      </c>
      <c r="K271" s="15">
        <v>205.36</v>
      </c>
      <c r="L271" s="15">
        <f>Table14[[#This Row],[Sales]]-Table14[[#This Row],[Cost]]</f>
        <v>974.17</v>
      </c>
    </row>
    <row r="272" spans="1:12" x14ac:dyDescent="0.35">
      <c r="A272" t="s">
        <v>290</v>
      </c>
      <c r="B272" s="6">
        <v>45581</v>
      </c>
      <c r="C272" s="6" t="str">
        <f>TEXT(Table14[[#This Row],[Date]],"YYY")</f>
        <v>2024</v>
      </c>
      <c r="D272" s="6" t="str">
        <f>TEXT(Table14[[#This Row],[Date]],"MMMM")</f>
        <v>October</v>
      </c>
      <c r="E272" s="6" t="str">
        <f>"Q" &amp;ROUNDUP(MONTH(Table14[[#This Row],[Date]])/3,0)</f>
        <v>Q4</v>
      </c>
      <c r="F272" s="4" t="s">
        <v>15</v>
      </c>
      <c r="G272" s="4" t="s">
        <v>16</v>
      </c>
      <c r="H272" s="4" t="s">
        <v>21</v>
      </c>
      <c r="I272" s="15">
        <v>4309.0200000000004</v>
      </c>
      <c r="J272" s="17">
        <v>10</v>
      </c>
      <c r="K272" s="15">
        <v>376.55</v>
      </c>
      <c r="L272" s="15">
        <f>Table14[[#This Row],[Sales]]-Table14[[#This Row],[Cost]]</f>
        <v>3932.4700000000003</v>
      </c>
    </row>
    <row r="273" spans="1:12" x14ac:dyDescent="0.35">
      <c r="A273" t="s">
        <v>291</v>
      </c>
      <c r="B273" s="6">
        <v>45574</v>
      </c>
      <c r="C273" s="6" t="str">
        <f>TEXT(Table14[[#This Row],[Date]],"YYY")</f>
        <v>2024</v>
      </c>
      <c r="D273" s="6" t="str">
        <f>TEXT(Table14[[#This Row],[Date]],"MMMM")</f>
        <v>October</v>
      </c>
      <c r="E273" s="6" t="str">
        <f>"Q" &amp;ROUNDUP(MONTH(Table14[[#This Row],[Date]])/3,0)</f>
        <v>Q4</v>
      </c>
      <c r="F273" s="4" t="s">
        <v>18</v>
      </c>
      <c r="G273" s="4" t="s">
        <v>10</v>
      </c>
      <c r="H273" s="4" t="s">
        <v>11</v>
      </c>
      <c r="I273" s="15">
        <v>5850.55</v>
      </c>
      <c r="J273" s="17">
        <v>9</v>
      </c>
      <c r="K273" s="15">
        <v>468.54</v>
      </c>
      <c r="L273" s="15">
        <f>Table14[[#This Row],[Sales]]-Table14[[#This Row],[Cost]]</f>
        <v>5382.01</v>
      </c>
    </row>
    <row r="274" spans="1:12" x14ac:dyDescent="0.35">
      <c r="A274" t="s">
        <v>292</v>
      </c>
      <c r="B274" s="6">
        <v>44928</v>
      </c>
      <c r="C274" s="6" t="str">
        <f>TEXT(Table14[[#This Row],[Date]],"YYY")</f>
        <v>2023</v>
      </c>
      <c r="D274" s="6" t="str">
        <f>TEXT(Table14[[#This Row],[Date]],"MMMM")</f>
        <v>January</v>
      </c>
      <c r="E274" s="6" t="str">
        <f>"Q" &amp;ROUNDUP(MONTH(Table14[[#This Row],[Date]])/3,0)</f>
        <v>Q1</v>
      </c>
      <c r="F274" s="4" t="s">
        <v>23</v>
      </c>
      <c r="G274" s="4" t="s">
        <v>16</v>
      </c>
      <c r="H274" s="4" t="s">
        <v>21</v>
      </c>
      <c r="I274" s="15">
        <v>3921.04</v>
      </c>
      <c r="J274" s="17">
        <v>10</v>
      </c>
      <c r="K274" s="15">
        <v>295.2</v>
      </c>
      <c r="L274" s="15">
        <f>Table14[[#This Row],[Sales]]-Table14[[#This Row],[Cost]]</f>
        <v>3625.84</v>
      </c>
    </row>
    <row r="275" spans="1:12" x14ac:dyDescent="0.35">
      <c r="A275" t="s">
        <v>293</v>
      </c>
      <c r="B275" s="6">
        <v>45463</v>
      </c>
      <c r="C275" s="6" t="str">
        <f>TEXT(Table14[[#This Row],[Date]],"YYY")</f>
        <v>2024</v>
      </c>
      <c r="D275" s="6" t="str">
        <f>TEXT(Table14[[#This Row],[Date]],"MMMM")</f>
        <v>June</v>
      </c>
      <c r="E275" s="6" t="str">
        <f>"Q" &amp;ROUNDUP(MONTH(Table14[[#This Row],[Date]])/3,0)</f>
        <v>Q2</v>
      </c>
      <c r="F275" s="4" t="s">
        <v>15</v>
      </c>
      <c r="G275" s="4" t="s">
        <v>16</v>
      </c>
      <c r="H275" s="4" t="s">
        <v>11</v>
      </c>
      <c r="I275" s="15">
        <v>572.30999999999995</v>
      </c>
      <c r="J275" s="17">
        <v>6</v>
      </c>
      <c r="K275" s="15">
        <v>72.790000000000006</v>
      </c>
      <c r="L275" s="15">
        <f>Table14[[#This Row],[Sales]]-Table14[[#This Row],[Cost]]</f>
        <v>499.51999999999992</v>
      </c>
    </row>
    <row r="276" spans="1:12" x14ac:dyDescent="0.35">
      <c r="A276" t="s">
        <v>294</v>
      </c>
      <c r="B276" s="6">
        <v>45326</v>
      </c>
      <c r="C276" s="6" t="str">
        <f>TEXT(Table14[[#This Row],[Date]],"YYY")</f>
        <v>2024</v>
      </c>
      <c r="D276" s="6" t="str">
        <f>TEXT(Table14[[#This Row],[Date]],"MMMM")</f>
        <v>February</v>
      </c>
      <c r="E276" s="6" t="str">
        <f>"Q" &amp;ROUNDUP(MONTH(Table14[[#This Row],[Date]])/3,0)</f>
        <v>Q1</v>
      </c>
      <c r="F276" s="4" t="s">
        <v>25</v>
      </c>
      <c r="G276" s="4" t="s">
        <v>16</v>
      </c>
      <c r="H276" s="4" t="s">
        <v>11</v>
      </c>
      <c r="I276" s="15">
        <v>541.65</v>
      </c>
      <c r="J276" s="17">
        <v>8</v>
      </c>
      <c r="K276" s="15">
        <v>53.96</v>
      </c>
      <c r="L276" s="15">
        <f>Table14[[#This Row],[Sales]]-Table14[[#This Row],[Cost]]</f>
        <v>487.69</v>
      </c>
    </row>
    <row r="277" spans="1:12" x14ac:dyDescent="0.35">
      <c r="A277" t="s">
        <v>295</v>
      </c>
      <c r="B277" s="6">
        <v>44943</v>
      </c>
      <c r="C277" s="6" t="str">
        <f>TEXT(Table14[[#This Row],[Date]],"YYY")</f>
        <v>2023</v>
      </c>
      <c r="D277" s="6" t="str">
        <f>TEXT(Table14[[#This Row],[Date]],"MMMM")</f>
        <v>January</v>
      </c>
      <c r="E277" s="6" t="str">
        <f>"Q" &amp;ROUNDUP(MONTH(Table14[[#This Row],[Date]])/3,0)</f>
        <v>Q1</v>
      </c>
      <c r="F277" s="4" t="s">
        <v>23</v>
      </c>
      <c r="G277" s="4" t="s">
        <v>16</v>
      </c>
      <c r="H277" s="4" t="s">
        <v>26</v>
      </c>
      <c r="I277" s="15">
        <v>4716.8500000000004</v>
      </c>
      <c r="J277" s="17">
        <v>6</v>
      </c>
      <c r="K277" s="15">
        <v>635.04999999999995</v>
      </c>
      <c r="L277" s="15">
        <f>Table14[[#This Row],[Sales]]-Table14[[#This Row],[Cost]]</f>
        <v>4081.8</v>
      </c>
    </row>
    <row r="278" spans="1:12" x14ac:dyDescent="0.35">
      <c r="A278" t="s">
        <v>296</v>
      </c>
      <c r="B278" s="6">
        <v>45522</v>
      </c>
      <c r="C278" s="6" t="str">
        <f>TEXT(Table14[[#This Row],[Date]],"YYY")</f>
        <v>2024</v>
      </c>
      <c r="D278" s="6" t="str">
        <f>TEXT(Table14[[#This Row],[Date]],"MMMM")</f>
        <v>August</v>
      </c>
      <c r="E278" s="6" t="str">
        <f>"Q" &amp;ROUNDUP(MONTH(Table14[[#This Row],[Date]])/3,0)</f>
        <v>Q3</v>
      </c>
      <c r="F278" s="4" t="s">
        <v>9</v>
      </c>
      <c r="G278" s="4" t="s">
        <v>10</v>
      </c>
      <c r="H278" s="4" t="s">
        <v>11</v>
      </c>
      <c r="I278" s="15">
        <v>923.69</v>
      </c>
      <c r="J278" s="17">
        <v>6</v>
      </c>
      <c r="K278" s="15">
        <v>124.06</v>
      </c>
      <c r="L278" s="15">
        <f>Table14[[#This Row],[Sales]]-Table14[[#This Row],[Cost]]</f>
        <v>799.63000000000011</v>
      </c>
    </row>
    <row r="279" spans="1:12" x14ac:dyDescent="0.35">
      <c r="A279" t="s">
        <v>297</v>
      </c>
      <c r="B279" s="6">
        <v>45628</v>
      </c>
      <c r="C279" s="6" t="str">
        <f>TEXT(Table14[[#This Row],[Date]],"YYY")</f>
        <v>2024</v>
      </c>
      <c r="D279" s="6" t="str">
        <f>TEXT(Table14[[#This Row],[Date]],"MMMM")</f>
        <v>December</v>
      </c>
      <c r="E279" s="6" t="str">
        <f>"Q" &amp;ROUNDUP(MONTH(Table14[[#This Row],[Date]])/3,0)</f>
        <v>Q4</v>
      </c>
      <c r="F279" s="4" t="s">
        <v>23</v>
      </c>
      <c r="G279" s="4" t="s">
        <v>16</v>
      </c>
      <c r="H279" s="4" t="s">
        <v>19</v>
      </c>
      <c r="I279" s="15">
        <v>8110.48</v>
      </c>
      <c r="J279" s="17">
        <v>8</v>
      </c>
      <c r="K279" s="15">
        <v>785.04</v>
      </c>
      <c r="L279" s="15">
        <f>Table14[[#This Row],[Sales]]-Table14[[#This Row],[Cost]]</f>
        <v>7325.44</v>
      </c>
    </row>
    <row r="280" spans="1:12" x14ac:dyDescent="0.35">
      <c r="A280" t="s">
        <v>298</v>
      </c>
      <c r="B280" s="6">
        <v>44991</v>
      </c>
      <c r="C280" s="6" t="str">
        <f>TEXT(Table14[[#This Row],[Date]],"YYY")</f>
        <v>2023</v>
      </c>
      <c r="D280" s="6" t="str">
        <f>TEXT(Table14[[#This Row],[Date]],"MMMM")</f>
        <v>March</v>
      </c>
      <c r="E280" s="6" t="str">
        <f>"Q" &amp;ROUNDUP(MONTH(Table14[[#This Row],[Date]])/3,0)</f>
        <v>Q1</v>
      </c>
      <c r="F280" s="4" t="s">
        <v>15</v>
      </c>
      <c r="G280" s="4" t="s">
        <v>16</v>
      </c>
      <c r="H280" s="4" t="s">
        <v>19</v>
      </c>
      <c r="I280" s="15">
        <v>461.39</v>
      </c>
      <c r="J280" s="17">
        <v>8</v>
      </c>
      <c r="K280" s="15">
        <v>48.85</v>
      </c>
      <c r="L280" s="15">
        <f>Table14[[#This Row],[Sales]]-Table14[[#This Row],[Cost]]</f>
        <v>412.53999999999996</v>
      </c>
    </row>
    <row r="281" spans="1:12" x14ac:dyDescent="0.35">
      <c r="A281" t="s">
        <v>299</v>
      </c>
      <c r="B281" s="6">
        <v>45250</v>
      </c>
      <c r="C281" s="6" t="str">
        <f>TEXT(Table14[[#This Row],[Date]],"YYY")</f>
        <v>2023</v>
      </c>
      <c r="D281" s="6" t="str">
        <f>TEXT(Table14[[#This Row],[Date]],"MMMM")</f>
        <v>November</v>
      </c>
      <c r="E281" s="6" t="str">
        <f>"Q" &amp;ROUNDUP(MONTH(Table14[[#This Row],[Date]])/3,0)</f>
        <v>Q4</v>
      </c>
      <c r="F281" s="4" t="s">
        <v>15</v>
      </c>
      <c r="G281" s="4" t="s">
        <v>16</v>
      </c>
      <c r="H281" s="4" t="s">
        <v>11</v>
      </c>
      <c r="I281" s="15">
        <v>3155.82</v>
      </c>
      <c r="J281" s="17">
        <v>5</v>
      </c>
      <c r="K281" s="15">
        <v>422</v>
      </c>
      <c r="L281" s="15">
        <f>Table14[[#This Row],[Sales]]-Table14[[#This Row],[Cost]]</f>
        <v>2733.82</v>
      </c>
    </row>
    <row r="282" spans="1:12" x14ac:dyDescent="0.35">
      <c r="A282" t="s">
        <v>300</v>
      </c>
      <c r="B282" s="6">
        <v>45186</v>
      </c>
      <c r="C282" s="6" t="str">
        <f>TEXT(Table14[[#This Row],[Date]],"YYY")</f>
        <v>2023</v>
      </c>
      <c r="D282" s="6" t="str">
        <f>TEXT(Table14[[#This Row],[Date]],"MMMM")</f>
        <v>September</v>
      </c>
      <c r="E282" s="6" t="str">
        <f>"Q" &amp;ROUNDUP(MONTH(Table14[[#This Row],[Date]])/3,0)</f>
        <v>Q3</v>
      </c>
      <c r="F282" s="4" t="s">
        <v>25</v>
      </c>
      <c r="G282" s="4" t="s">
        <v>16</v>
      </c>
      <c r="H282" s="4" t="s">
        <v>21</v>
      </c>
      <c r="I282" s="15">
        <v>714.77</v>
      </c>
      <c r="J282" s="17">
        <v>1</v>
      </c>
      <c r="K282" s="15">
        <v>607.57000000000005</v>
      </c>
      <c r="L282" s="15">
        <f>Table14[[#This Row],[Sales]]-Table14[[#This Row],[Cost]]</f>
        <v>107.19999999999993</v>
      </c>
    </row>
    <row r="283" spans="1:12" x14ac:dyDescent="0.35">
      <c r="A283" t="s">
        <v>301</v>
      </c>
      <c r="B283" s="6">
        <v>45598</v>
      </c>
      <c r="C283" s="6" t="str">
        <f>TEXT(Table14[[#This Row],[Date]],"YYY")</f>
        <v>2024</v>
      </c>
      <c r="D283" s="6" t="str">
        <f>TEXT(Table14[[#This Row],[Date]],"MMMM")</f>
        <v>November</v>
      </c>
      <c r="E283" s="6" t="str">
        <f>"Q" &amp;ROUNDUP(MONTH(Table14[[#This Row],[Date]])/3,0)</f>
        <v>Q4</v>
      </c>
      <c r="F283" s="4" t="s">
        <v>23</v>
      </c>
      <c r="G283" s="4" t="s">
        <v>16</v>
      </c>
      <c r="H283" s="4" t="s">
        <v>11</v>
      </c>
      <c r="I283" s="15">
        <v>1985.73</v>
      </c>
      <c r="J283" s="17">
        <v>6</v>
      </c>
      <c r="K283" s="15">
        <v>233.11</v>
      </c>
      <c r="L283" s="15">
        <f>Table14[[#This Row],[Sales]]-Table14[[#This Row],[Cost]]</f>
        <v>1752.62</v>
      </c>
    </row>
    <row r="284" spans="1:12" x14ac:dyDescent="0.35">
      <c r="A284" t="s">
        <v>302</v>
      </c>
      <c r="B284" s="6">
        <v>45377</v>
      </c>
      <c r="C284" s="6" t="str">
        <f>TEXT(Table14[[#This Row],[Date]],"YYY")</f>
        <v>2024</v>
      </c>
      <c r="D284" s="6" t="str">
        <f>TEXT(Table14[[#This Row],[Date]],"MMMM")</f>
        <v>March</v>
      </c>
      <c r="E284" s="6" t="str">
        <f>"Q" &amp;ROUNDUP(MONTH(Table14[[#This Row],[Date]])/3,0)</f>
        <v>Q1</v>
      </c>
      <c r="F284" s="4" t="s">
        <v>18</v>
      </c>
      <c r="G284" s="4" t="s">
        <v>10</v>
      </c>
      <c r="H284" s="4" t="s">
        <v>21</v>
      </c>
      <c r="I284" s="15">
        <v>2339.06</v>
      </c>
      <c r="J284" s="17">
        <v>7</v>
      </c>
      <c r="K284" s="15">
        <v>284.45</v>
      </c>
      <c r="L284" s="15">
        <f>Table14[[#This Row],[Sales]]-Table14[[#This Row],[Cost]]</f>
        <v>2054.61</v>
      </c>
    </row>
    <row r="285" spans="1:12" x14ac:dyDescent="0.35">
      <c r="A285" t="s">
        <v>303</v>
      </c>
      <c r="B285" s="6">
        <v>45303</v>
      </c>
      <c r="C285" s="6" t="str">
        <f>TEXT(Table14[[#This Row],[Date]],"YYY")</f>
        <v>2024</v>
      </c>
      <c r="D285" s="6" t="str">
        <f>TEXT(Table14[[#This Row],[Date]],"MMMM")</f>
        <v>January</v>
      </c>
      <c r="E285" s="6" t="str">
        <f>"Q" &amp;ROUNDUP(MONTH(Table14[[#This Row],[Date]])/3,0)</f>
        <v>Q1</v>
      </c>
      <c r="F285" s="4" t="s">
        <v>9</v>
      </c>
      <c r="G285" s="4" t="s">
        <v>10</v>
      </c>
      <c r="H285" s="4" t="s">
        <v>21</v>
      </c>
      <c r="I285" s="15">
        <v>2325.42</v>
      </c>
      <c r="J285" s="17">
        <v>9</v>
      </c>
      <c r="K285" s="15">
        <v>228.04</v>
      </c>
      <c r="L285" s="15">
        <f>Table14[[#This Row],[Sales]]-Table14[[#This Row],[Cost]]</f>
        <v>2097.38</v>
      </c>
    </row>
    <row r="286" spans="1:12" x14ac:dyDescent="0.35">
      <c r="A286" t="s">
        <v>304</v>
      </c>
      <c r="B286" s="6">
        <v>45367</v>
      </c>
      <c r="C286" s="6" t="str">
        <f>TEXT(Table14[[#This Row],[Date]],"YYY")</f>
        <v>2024</v>
      </c>
      <c r="D286" s="6" t="str">
        <f>TEXT(Table14[[#This Row],[Date]],"MMMM")</f>
        <v>March</v>
      </c>
      <c r="E286" s="6" t="str">
        <f>"Q" &amp;ROUNDUP(MONTH(Table14[[#This Row],[Date]])/3,0)</f>
        <v>Q1</v>
      </c>
      <c r="F286" s="4" t="s">
        <v>18</v>
      </c>
      <c r="G286" s="4" t="s">
        <v>10</v>
      </c>
      <c r="H286" s="4" t="s">
        <v>11</v>
      </c>
      <c r="I286" s="15">
        <v>9332.68</v>
      </c>
      <c r="J286" s="17">
        <v>10</v>
      </c>
      <c r="K286" s="15">
        <v>796.18</v>
      </c>
      <c r="L286" s="15">
        <f>Table14[[#This Row],[Sales]]-Table14[[#This Row],[Cost]]</f>
        <v>8536.5</v>
      </c>
    </row>
    <row r="287" spans="1:12" x14ac:dyDescent="0.35">
      <c r="A287" t="s">
        <v>305</v>
      </c>
      <c r="B287" s="6">
        <v>45032</v>
      </c>
      <c r="C287" s="6" t="str">
        <f>TEXT(Table14[[#This Row],[Date]],"YYY")</f>
        <v>2023</v>
      </c>
      <c r="D287" s="6" t="str">
        <f>TEXT(Table14[[#This Row],[Date]],"MMMM")</f>
        <v>April</v>
      </c>
      <c r="E287" s="6" t="str">
        <f>"Q" &amp;ROUNDUP(MONTH(Table14[[#This Row],[Date]])/3,0)</f>
        <v>Q2</v>
      </c>
      <c r="F287" s="4" t="s">
        <v>23</v>
      </c>
      <c r="G287" s="4" t="s">
        <v>16</v>
      </c>
      <c r="H287" s="4" t="s">
        <v>26</v>
      </c>
      <c r="I287" s="15">
        <v>671.94</v>
      </c>
      <c r="J287" s="17">
        <v>2</v>
      </c>
      <c r="K287" s="15">
        <v>275.77999999999997</v>
      </c>
      <c r="L287" s="15">
        <f>Table14[[#This Row],[Sales]]-Table14[[#This Row],[Cost]]</f>
        <v>396.16000000000008</v>
      </c>
    </row>
    <row r="288" spans="1:12" x14ac:dyDescent="0.35">
      <c r="A288" t="s">
        <v>306</v>
      </c>
      <c r="B288" s="6">
        <v>45097</v>
      </c>
      <c r="C288" s="6" t="str">
        <f>TEXT(Table14[[#This Row],[Date]],"YYY")</f>
        <v>2023</v>
      </c>
      <c r="D288" s="6" t="str">
        <f>TEXT(Table14[[#This Row],[Date]],"MMMM")</f>
        <v>June</v>
      </c>
      <c r="E288" s="6" t="str">
        <f>"Q" &amp;ROUNDUP(MONTH(Table14[[#This Row],[Date]])/3,0)</f>
        <v>Q2</v>
      </c>
      <c r="F288" s="4" t="s">
        <v>18</v>
      </c>
      <c r="G288" s="4" t="s">
        <v>10</v>
      </c>
      <c r="H288" s="4" t="s">
        <v>21</v>
      </c>
      <c r="I288" s="15">
        <v>2628.92</v>
      </c>
      <c r="J288" s="17">
        <v>8</v>
      </c>
      <c r="K288" s="15">
        <v>294.20999999999998</v>
      </c>
      <c r="L288" s="15">
        <f>Table14[[#This Row],[Sales]]-Table14[[#This Row],[Cost]]</f>
        <v>2334.71</v>
      </c>
    </row>
    <row r="289" spans="1:12" x14ac:dyDescent="0.35">
      <c r="A289" t="s">
        <v>307</v>
      </c>
      <c r="B289" s="6">
        <v>45208</v>
      </c>
      <c r="C289" s="6" t="str">
        <f>TEXT(Table14[[#This Row],[Date]],"YYY")</f>
        <v>2023</v>
      </c>
      <c r="D289" s="6" t="str">
        <f>TEXT(Table14[[#This Row],[Date]],"MMMM")</f>
        <v>October</v>
      </c>
      <c r="E289" s="6" t="str">
        <f>"Q" &amp;ROUNDUP(MONTH(Table14[[#This Row],[Date]])/3,0)</f>
        <v>Q4</v>
      </c>
      <c r="F289" s="4" t="s">
        <v>23</v>
      </c>
      <c r="G289" s="4" t="s">
        <v>16</v>
      </c>
      <c r="H289" s="4" t="s">
        <v>21</v>
      </c>
      <c r="I289" s="15">
        <v>106.41</v>
      </c>
      <c r="J289" s="17">
        <v>1</v>
      </c>
      <c r="K289" s="15">
        <v>78.53</v>
      </c>
      <c r="L289" s="15">
        <f>Table14[[#This Row],[Sales]]-Table14[[#This Row],[Cost]]</f>
        <v>27.879999999999995</v>
      </c>
    </row>
    <row r="290" spans="1:12" x14ac:dyDescent="0.35">
      <c r="A290" t="s">
        <v>308</v>
      </c>
      <c r="B290" s="6">
        <v>44958</v>
      </c>
      <c r="C290" s="6" t="str">
        <f>TEXT(Table14[[#This Row],[Date]],"YYY")</f>
        <v>2023</v>
      </c>
      <c r="D290" s="6" t="str">
        <f>TEXT(Table14[[#This Row],[Date]],"MMMM")</f>
        <v>February</v>
      </c>
      <c r="E290" s="6" t="str">
        <f>"Q" &amp;ROUNDUP(MONTH(Table14[[#This Row],[Date]])/3,0)</f>
        <v>Q1</v>
      </c>
      <c r="F290" s="4" t="s">
        <v>23</v>
      </c>
      <c r="G290" s="4" t="s">
        <v>16</v>
      </c>
      <c r="H290" s="4" t="s">
        <v>19</v>
      </c>
      <c r="I290" s="15">
        <v>2805.38</v>
      </c>
      <c r="J290" s="17">
        <v>3</v>
      </c>
      <c r="K290" s="15">
        <v>681.96</v>
      </c>
      <c r="L290" s="15">
        <f>Table14[[#This Row],[Sales]]-Table14[[#This Row],[Cost]]</f>
        <v>2123.42</v>
      </c>
    </row>
    <row r="291" spans="1:12" x14ac:dyDescent="0.35">
      <c r="A291" t="s">
        <v>309</v>
      </c>
      <c r="B291" s="6">
        <v>45056</v>
      </c>
      <c r="C291" s="6" t="str">
        <f>TEXT(Table14[[#This Row],[Date]],"YYY")</f>
        <v>2023</v>
      </c>
      <c r="D291" s="6" t="str">
        <f>TEXT(Table14[[#This Row],[Date]],"MMMM")</f>
        <v>May</v>
      </c>
      <c r="E291" s="6" t="str">
        <f>"Q" &amp;ROUNDUP(MONTH(Table14[[#This Row],[Date]])/3,0)</f>
        <v>Q2</v>
      </c>
      <c r="F291" s="4" t="s">
        <v>18</v>
      </c>
      <c r="G291" s="4" t="s">
        <v>10</v>
      </c>
      <c r="H291" s="4" t="s">
        <v>11</v>
      </c>
      <c r="I291" s="15">
        <v>554.30999999999995</v>
      </c>
      <c r="J291" s="17">
        <v>2</v>
      </c>
      <c r="K291" s="15">
        <v>204.08</v>
      </c>
      <c r="L291" s="15">
        <f>Table14[[#This Row],[Sales]]-Table14[[#This Row],[Cost]]</f>
        <v>350.2299999999999</v>
      </c>
    </row>
    <row r="292" spans="1:12" x14ac:dyDescent="0.35">
      <c r="A292" t="s">
        <v>310</v>
      </c>
      <c r="B292" s="6">
        <v>45507</v>
      </c>
      <c r="C292" s="6" t="str">
        <f>TEXT(Table14[[#This Row],[Date]],"YYY")</f>
        <v>2024</v>
      </c>
      <c r="D292" s="6" t="str">
        <f>TEXT(Table14[[#This Row],[Date]],"MMMM")</f>
        <v>August</v>
      </c>
      <c r="E292" s="6" t="str">
        <f>"Q" &amp;ROUNDUP(MONTH(Table14[[#This Row],[Date]])/3,0)</f>
        <v>Q3</v>
      </c>
      <c r="F292" s="4" t="s">
        <v>23</v>
      </c>
      <c r="G292" s="4" t="s">
        <v>16</v>
      </c>
      <c r="H292" s="4" t="s">
        <v>21</v>
      </c>
      <c r="I292" s="15">
        <v>674.8</v>
      </c>
      <c r="J292" s="17">
        <v>1</v>
      </c>
      <c r="K292" s="15">
        <v>491.97</v>
      </c>
      <c r="L292" s="15">
        <f>Table14[[#This Row],[Sales]]-Table14[[#This Row],[Cost]]</f>
        <v>182.82999999999993</v>
      </c>
    </row>
    <row r="293" spans="1:12" x14ac:dyDescent="0.35">
      <c r="A293" t="s">
        <v>311</v>
      </c>
      <c r="B293" s="6">
        <v>45381</v>
      </c>
      <c r="C293" s="6" t="str">
        <f>TEXT(Table14[[#This Row],[Date]],"YYY")</f>
        <v>2024</v>
      </c>
      <c r="D293" s="6" t="str">
        <f>TEXT(Table14[[#This Row],[Date]],"MMMM")</f>
        <v>March</v>
      </c>
      <c r="E293" s="6" t="str">
        <f>"Q" &amp;ROUNDUP(MONTH(Table14[[#This Row],[Date]])/3,0)</f>
        <v>Q1</v>
      </c>
      <c r="F293" s="4" t="s">
        <v>23</v>
      </c>
      <c r="G293" s="4" t="s">
        <v>16</v>
      </c>
      <c r="H293" s="4" t="s">
        <v>26</v>
      </c>
      <c r="I293" s="15">
        <v>1226.94</v>
      </c>
      <c r="J293" s="17">
        <v>2</v>
      </c>
      <c r="K293" s="15">
        <v>467.66</v>
      </c>
      <c r="L293" s="15">
        <f>Table14[[#This Row],[Sales]]-Table14[[#This Row],[Cost]]</f>
        <v>759.28</v>
      </c>
    </row>
    <row r="294" spans="1:12" x14ac:dyDescent="0.35">
      <c r="A294" t="s">
        <v>312</v>
      </c>
      <c r="B294" s="6">
        <v>45592</v>
      </c>
      <c r="C294" s="6" t="str">
        <f>TEXT(Table14[[#This Row],[Date]],"YYY")</f>
        <v>2024</v>
      </c>
      <c r="D294" s="6" t="str">
        <f>TEXT(Table14[[#This Row],[Date]],"MMMM")</f>
        <v>October</v>
      </c>
      <c r="E294" s="6" t="str">
        <f>"Q" &amp;ROUNDUP(MONTH(Table14[[#This Row],[Date]])/3,0)</f>
        <v>Q4</v>
      </c>
      <c r="F294" s="4" t="s">
        <v>18</v>
      </c>
      <c r="G294" s="4" t="s">
        <v>10</v>
      </c>
      <c r="H294" s="4" t="s">
        <v>26</v>
      </c>
      <c r="I294" s="15">
        <v>1229.56</v>
      </c>
      <c r="J294" s="17">
        <v>5</v>
      </c>
      <c r="K294" s="15">
        <v>214.7</v>
      </c>
      <c r="L294" s="15">
        <f>Table14[[#This Row],[Sales]]-Table14[[#This Row],[Cost]]</f>
        <v>1014.8599999999999</v>
      </c>
    </row>
    <row r="295" spans="1:12" x14ac:dyDescent="0.35">
      <c r="A295" t="s">
        <v>313</v>
      </c>
      <c r="B295" s="6">
        <v>45438</v>
      </c>
      <c r="C295" s="6" t="str">
        <f>TEXT(Table14[[#This Row],[Date]],"YYY")</f>
        <v>2024</v>
      </c>
      <c r="D295" s="6" t="str">
        <f>TEXT(Table14[[#This Row],[Date]],"MMMM")</f>
        <v>May</v>
      </c>
      <c r="E295" s="6" t="str">
        <f>"Q" &amp;ROUNDUP(MONTH(Table14[[#This Row],[Date]])/3,0)</f>
        <v>Q2</v>
      </c>
      <c r="F295" s="4" t="s">
        <v>9</v>
      </c>
      <c r="G295" s="4" t="s">
        <v>10</v>
      </c>
      <c r="H295" s="4" t="s">
        <v>19</v>
      </c>
      <c r="I295" s="15">
        <v>3837.1</v>
      </c>
      <c r="J295" s="17">
        <v>9</v>
      </c>
      <c r="K295" s="15">
        <v>321.85000000000002</v>
      </c>
      <c r="L295" s="15">
        <f>Table14[[#This Row],[Sales]]-Table14[[#This Row],[Cost]]</f>
        <v>3515.25</v>
      </c>
    </row>
    <row r="296" spans="1:12" x14ac:dyDescent="0.35">
      <c r="A296" t="s">
        <v>314</v>
      </c>
      <c r="B296" s="6">
        <v>45647</v>
      </c>
      <c r="C296" s="6" t="str">
        <f>TEXT(Table14[[#This Row],[Date]],"YYY")</f>
        <v>2024</v>
      </c>
      <c r="D296" s="6" t="str">
        <f>TEXT(Table14[[#This Row],[Date]],"MMMM")</f>
        <v>December</v>
      </c>
      <c r="E296" s="6" t="str">
        <f>"Q" &amp;ROUNDUP(MONTH(Table14[[#This Row],[Date]])/3,0)</f>
        <v>Q4</v>
      </c>
      <c r="F296" s="4" t="s">
        <v>23</v>
      </c>
      <c r="G296" s="4" t="s">
        <v>16</v>
      </c>
      <c r="H296" s="4" t="s">
        <v>26</v>
      </c>
      <c r="I296" s="15">
        <v>2015.62</v>
      </c>
      <c r="J296" s="17">
        <v>8</v>
      </c>
      <c r="K296" s="15">
        <v>187.36</v>
      </c>
      <c r="L296" s="15">
        <f>Table14[[#This Row],[Sales]]-Table14[[#This Row],[Cost]]</f>
        <v>1828.2599999999998</v>
      </c>
    </row>
    <row r="297" spans="1:12" x14ac:dyDescent="0.35">
      <c r="A297" t="s">
        <v>315</v>
      </c>
      <c r="B297" s="6">
        <v>45131</v>
      </c>
      <c r="C297" s="6" t="str">
        <f>TEXT(Table14[[#This Row],[Date]],"YYY")</f>
        <v>2023</v>
      </c>
      <c r="D297" s="6" t="str">
        <f>TEXT(Table14[[#This Row],[Date]],"MMMM")</f>
        <v>July</v>
      </c>
      <c r="E297" s="6" t="str">
        <f>"Q" &amp;ROUNDUP(MONTH(Table14[[#This Row],[Date]])/3,0)</f>
        <v>Q3</v>
      </c>
      <c r="F297" s="4" t="s">
        <v>9</v>
      </c>
      <c r="G297" s="4" t="s">
        <v>10</v>
      </c>
      <c r="H297" s="4" t="s">
        <v>21</v>
      </c>
      <c r="I297" s="15">
        <v>284.37</v>
      </c>
      <c r="J297" s="17">
        <v>2</v>
      </c>
      <c r="K297" s="15">
        <v>125.87</v>
      </c>
      <c r="L297" s="15">
        <f>Table14[[#This Row],[Sales]]-Table14[[#This Row],[Cost]]</f>
        <v>158.5</v>
      </c>
    </row>
    <row r="298" spans="1:12" x14ac:dyDescent="0.35">
      <c r="A298" t="s">
        <v>316</v>
      </c>
      <c r="B298" s="6">
        <v>45016</v>
      </c>
      <c r="C298" s="6" t="str">
        <f>TEXT(Table14[[#This Row],[Date]],"YYY")</f>
        <v>2023</v>
      </c>
      <c r="D298" s="6" t="str">
        <f>TEXT(Table14[[#This Row],[Date]],"MMMM")</f>
        <v>March</v>
      </c>
      <c r="E298" s="6" t="str">
        <f>"Q" &amp;ROUNDUP(MONTH(Table14[[#This Row],[Date]])/3,0)</f>
        <v>Q1</v>
      </c>
      <c r="F298" s="4" t="s">
        <v>15</v>
      </c>
      <c r="G298" s="4" t="s">
        <v>16</v>
      </c>
      <c r="H298" s="4" t="s">
        <v>21</v>
      </c>
      <c r="I298" s="15">
        <v>4491.2</v>
      </c>
      <c r="J298" s="17">
        <v>6</v>
      </c>
      <c r="K298" s="15">
        <v>540.91999999999996</v>
      </c>
      <c r="L298" s="15">
        <f>Table14[[#This Row],[Sales]]-Table14[[#This Row],[Cost]]</f>
        <v>3950.2799999999997</v>
      </c>
    </row>
    <row r="299" spans="1:12" x14ac:dyDescent="0.35">
      <c r="A299" t="s">
        <v>317</v>
      </c>
      <c r="B299" s="6">
        <v>45234</v>
      </c>
      <c r="C299" s="6" t="str">
        <f>TEXT(Table14[[#This Row],[Date]],"YYY")</f>
        <v>2023</v>
      </c>
      <c r="D299" s="6" t="str">
        <f>TEXT(Table14[[#This Row],[Date]],"MMMM")</f>
        <v>November</v>
      </c>
      <c r="E299" s="6" t="str">
        <f>"Q" &amp;ROUNDUP(MONTH(Table14[[#This Row],[Date]])/3,0)</f>
        <v>Q4</v>
      </c>
      <c r="F299" s="4" t="s">
        <v>25</v>
      </c>
      <c r="G299" s="4" t="s">
        <v>16</v>
      </c>
      <c r="H299" s="4" t="s">
        <v>26</v>
      </c>
      <c r="I299" s="15">
        <v>2538.2800000000002</v>
      </c>
      <c r="J299" s="17">
        <v>3</v>
      </c>
      <c r="K299" s="15">
        <v>575.21</v>
      </c>
      <c r="L299" s="15">
        <f>Table14[[#This Row],[Sales]]-Table14[[#This Row],[Cost]]</f>
        <v>1963.0700000000002</v>
      </c>
    </row>
    <row r="300" spans="1:12" x14ac:dyDescent="0.35">
      <c r="A300" t="s">
        <v>318</v>
      </c>
      <c r="B300" s="6">
        <v>45297</v>
      </c>
      <c r="C300" s="6" t="str">
        <f>TEXT(Table14[[#This Row],[Date]],"YYY")</f>
        <v>2024</v>
      </c>
      <c r="D300" s="6" t="str">
        <f>TEXT(Table14[[#This Row],[Date]],"MMMM")</f>
        <v>January</v>
      </c>
      <c r="E300" s="6" t="str">
        <f>"Q" &amp;ROUNDUP(MONTH(Table14[[#This Row],[Date]])/3,0)</f>
        <v>Q1</v>
      </c>
      <c r="F300" s="4" t="s">
        <v>9</v>
      </c>
      <c r="G300" s="4" t="s">
        <v>10</v>
      </c>
      <c r="H300" s="4" t="s">
        <v>19</v>
      </c>
      <c r="I300" s="15">
        <v>2620.85</v>
      </c>
      <c r="J300" s="17">
        <v>9</v>
      </c>
      <c r="K300" s="15">
        <v>194.91</v>
      </c>
      <c r="L300" s="15">
        <f>Table14[[#This Row],[Sales]]-Table14[[#This Row],[Cost]]</f>
        <v>2425.94</v>
      </c>
    </row>
    <row r="301" spans="1:12" x14ac:dyDescent="0.35">
      <c r="A301" t="s">
        <v>319</v>
      </c>
      <c r="B301" s="6">
        <v>45432</v>
      </c>
      <c r="C301" s="6" t="str">
        <f>TEXT(Table14[[#This Row],[Date]],"YYY")</f>
        <v>2024</v>
      </c>
      <c r="D301" s="6" t="str">
        <f>TEXT(Table14[[#This Row],[Date]],"MMMM")</f>
        <v>May</v>
      </c>
      <c r="E301" s="6" t="str">
        <f>"Q" &amp;ROUNDUP(MONTH(Table14[[#This Row],[Date]])/3,0)</f>
        <v>Q2</v>
      </c>
      <c r="F301" s="4" t="s">
        <v>15</v>
      </c>
      <c r="G301" s="4" t="s">
        <v>16</v>
      </c>
      <c r="H301" s="4" t="s">
        <v>19</v>
      </c>
      <c r="I301" s="15">
        <v>400.67</v>
      </c>
      <c r="J301" s="17">
        <v>1</v>
      </c>
      <c r="K301" s="15">
        <v>301.5</v>
      </c>
      <c r="L301" s="15">
        <f>Table14[[#This Row],[Sales]]-Table14[[#This Row],[Cost]]</f>
        <v>99.170000000000016</v>
      </c>
    </row>
    <row r="302" spans="1:12" x14ac:dyDescent="0.35">
      <c r="J302" s="17">
        <f>SUM(J2:J301)</f>
        <v>1623</v>
      </c>
    </row>
    <row r="1048576" spans="9:9" x14ac:dyDescent="0.35">
      <c r="I1048576" s="15">
        <f>SUM(I2:I1048575)</f>
        <v>841248.68000000075</v>
      </c>
    </row>
  </sheetData>
  <phoneticPr fontId="3" type="noConversion"/>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76B98-B903-4B0A-95D2-69ACC1C06BFF}">
  <dimension ref="A1"/>
  <sheetViews>
    <sheetView showGridLines="0" zoomScale="50" zoomScaleNormal="50" workbookViewId="0">
      <selection activeCell="AG28" sqref="AG28"/>
    </sheetView>
  </sheetViews>
  <sheetFormatPr defaultRowHeight="14.5" x14ac:dyDescent="0.3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13</vt:i4>
      </vt:variant>
    </vt:vector>
  </HeadingPairs>
  <TitlesOfParts>
    <vt:vector size="20" baseType="lpstr">
      <vt:lpstr>DATA</vt:lpstr>
      <vt:lpstr>PIVOT TABLE</vt:lpstr>
      <vt:lpstr>DashBoard</vt:lpstr>
      <vt:lpstr>WORKING DATA</vt:lpstr>
      <vt:lpstr>Pivottable2</vt:lpstr>
      <vt:lpstr>DATA (2)</vt:lpstr>
      <vt:lpstr>Dashboard Report</vt:lpstr>
      <vt:lpstr>cost</vt:lpstr>
      <vt:lpstr>profit</vt:lpstr>
      <vt:lpstr>Quantity</vt:lpstr>
      <vt:lpstr>sales</vt:lpstr>
      <vt:lpstr>totalcost</vt:lpstr>
      <vt:lpstr>totalprofit</vt:lpstr>
      <vt:lpstr>totalproit</vt:lpstr>
      <vt:lpstr>totalquantity</vt:lpstr>
      <vt:lpstr>totalsales</vt:lpstr>
      <vt:lpstr>yoycost</vt:lpstr>
      <vt:lpstr>yoyprofit</vt:lpstr>
      <vt:lpstr>yoyquantity</vt:lpstr>
      <vt:lpstr>yoysales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Chimdinma Melikam</dc:creator>
  <cp:lastModifiedBy>okolie elizabeth</cp:lastModifiedBy>
  <cp:lastPrinted>2026-03-01T22:27:35Z</cp:lastPrinted>
  <dcterms:created xsi:type="dcterms:W3CDTF">2025-11-25T12:12:54Z</dcterms:created>
  <dcterms:modified xsi:type="dcterms:W3CDTF">2026-03-23T10:46:57Z</dcterms:modified>
</cp:coreProperties>
</file>